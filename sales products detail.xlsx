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Eniola\OneDrive\Desktop\Excel datasets\"/>
    </mc:Choice>
  </mc:AlternateContent>
  <xr:revisionPtr revIDLastSave="0" documentId="13_ncr:1_{4EDEEF35-1488-4AB5-8F04-D609BF5B3CD0}" xr6:coauthVersionLast="47" xr6:coauthVersionMax="47" xr10:uidLastSave="{00000000-0000-0000-0000-000000000000}"/>
  <bookViews>
    <workbookView xWindow="-120" yWindow="-120" windowWidth="24240" windowHeight="13020" activeTab="1" xr2:uid="{756AC763-40DC-45B8-813D-EE8C3D90D679}"/>
  </bookViews>
  <sheets>
    <sheet name="Pivot_Table" sheetId="3" r:id="rId1"/>
    <sheet name="Dashboard" sheetId="5" r:id="rId2"/>
    <sheet name="Sales_Product_Details_Table" sheetId="1" r:id="rId3"/>
  </sheets>
  <definedNames>
    <definedName name="Slicer_Day">#N/A</definedName>
    <definedName name="Slicer_Product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2" i="1"/>
</calcChain>
</file>

<file path=xl/sharedStrings.xml><?xml version="1.0" encoding="utf-8"?>
<sst xmlns="http://schemas.openxmlformats.org/spreadsheetml/2006/main" count="250" uniqueCount="69">
  <si>
    <t>Date</t>
  </si>
  <si>
    <t>Customer_ID</t>
  </si>
  <si>
    <t>Product_ID</t>
  </si>
  <si>
    <t>Quantity</t>
  </si>
  <si>
    <t>Unit_Price</t>
  </si>
  <si>
    <t>Sales_Revenue</t>
  </si>
  <si>
    <t>Product_Description</t>
  </si>
  <si>
    <t>Product_Category</t>
  </si>
  <si>
    <t>Product_Line</t>
  </si>
  <si>
    <t>Raw_Material</t>
  </si>
  <si>
    <t>Region</t>
  </si>
  <si>
    <t>Latitude</t>
  </si>
  <si>
    <t>Longitude</t>
  </si>
  <si>
    <t>Cycling Jerseys</t>
  </si>
  <si>
    <t>Sports</t>
  </si>
  <si>
    <t>Tops</t>
  </si>
  <si>
    <t>Fabrics</t>
  </si>
  <si>
    <t>York</t>
  </si>
  <si>
    <t>Casual Shirts</t>
  </si>
  <si>
    <t>Menswear</t>
  </si>
  <si>
    <t>Cotton</t>
  </si>
  <si>
    <t>Worcester</t>
  </si>
  <si>
    <t>Jeans</t>
  </si>
  <si>
    <t>Trousers</t>
  </si>
  <si>
    <t>Winchester</t>
  </si>
  <si>
    <t>Shorts</t>
  </si>
  <si>
    <t>Womenswear</t>
  </si>
  <si>
    <t>Belts</t>
  </si>
  <si>
    <t>Accessories</t>
  </si>
  <si>
    <t>Leathers</t>
  </si>
  <si>
    <t>Leather</t>
  </si>
  <si>
    <t>Wells</t>
  </si>
  <si>
    <t>Ties</t>
  </si>
  <si>
    <t>Wakefield</t>
  </si>
  <si>
    <t>Polo Shirts</t>
  </si>
  <si>
    <t>Tshirts</t>
  </si>
  <si>
    <t>Formal Shirts</t>
  </si>
  <si>
    <t>Wool</t>
  </si>
  <si>
    <t>Knitwear</t>
  </si>
  <si>
    <t>Cashmere</t>
  </si>
  <si>
    <t>Suits</t>
  </si>
  <si>
    <t>Sweats</t>
  </si>
  <si>
    <t>Polyester</t>
  </si>
  <si>
    <t>Pants</t>
  </si>
  <si>
    <t>GolfShoes</t>
  </si>
  <si>
    <t>Shoes</t>
  </si>
  <si>
    <t>Truro</t>
  </si>
  <si>
    <t>Dress</t>
  </si>
  <si>
    <t>Coats</t>
  </si>
  <si>
    <t>Underwear</t>
  </si>
  <si>
    <t>Pyjamas</t>
  </si>
  <si>
    <t>Day</t>
  </si>
  <si>
    <t>Month</t>
  </si>
  <si>
    <t>Year</t>
  </si>
  <si>
    <t>Week</t>
  </si>
  <si>
    <t>Total_Revenue</t>
  </si>
  <si>
    <t>Total_Quantity_Sold</t>
  </si>
  <si>
    <t>Grand Total</t>
  </si>
  <si>
    <t>Sunday</t>
  </si>
  <si>
    <t>Monday</t>
  </si>
  <si>
    <t>Tuesday</t>
  </si>
  <si>
    <t>Wednesday</t>
  </si>
  <si>
    <t>Thursday</t>
  </si>
  <si>
    <t>Friday</t>
  </si>
  <si>
    <t>Saturday</t>
  </si>
  <si>
    <t>Raw_Materials</t>
  </si>
  <si>
    <t>Week_over_week_analysis</t>
  </si>
  <si>
    <t>Top_8_Products</t>
  </si>
  <si>
    <t>Top_5_Products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</si>
</sst>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4" fontId="0" fillId="0" borderId="0" xfId="0" applyNumberFormat="1"/>
    <xf numFmtId="164" fontId="18" fillId="0" borderId="0" xfId="0" applyNumberFormat="1" applyFon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4" formatCode="&quot;$&quot;#,##0.00"/>
    </dxf>
    <dxf>
      <numFmt numFmtId="164" formatCode="&quot;$&quot;#,##0.00"/>
    </dxf>
    <dxf>
      <numFmt numFmtId="19" formatCode="m/d/yyyy"/>
    </dxf>
    <dxf>
      <font>
        <b val="0"/>
        <i val="0"/>
        <strike val="0"/>
        <condense val="0"/>
        <extend val="0"/>
        <outline val="0"/>
        <shadow val="0"/>
        <u val="none"/>
        <vertAlign val="baseline"/>
        <sz val="14"/>
        <color rgb="FFFF0000"/>
        <name val="Calibri"/>
        <family val="2"/>
        <scheme val="minor"/>
      </font>
    </dxf>
  </dxfs>
  <tableStyles count="1" defaultTableStyle="TableStyleMedium2" defaultPivotStyle="PivotStyleLight16">
    <tableStyle name="Slicer Style 1" pivot="0" table="0" count="0" xr9:uid="{0E96A14D-86A7-4772-B85E-7BD83165E774}"/>
  </tableStyles>
  <colors>
    <mruColors>
      <color rgb="FFED97A9"/>
      <color rgb="FFFF0066"/>
      <color rgb="FF2D911F"/>
      <color rgb="FF27652D"/>
      <color rgb="FF1A6A5B"/>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detail.xlsx]Pivot_Table!PivotTable6</c:name>
    <c:fmtId val="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solidFill>
                  <a:sysClr val="windowText" lastClr="000000"/>
                </a:solidFill>
                <a:latin typeface="Bahnschrift Condensed" panose="020B0502040204020203" pitchFamily="34" charset="0"/>
              </a:rPr>
              <a:t>Revenue generated by Region</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
        <c:idx val="4"/>
        <c:spPr>
          <a:solidFill>
            <a:srgbClr val="FF0066"/>
          </a:solidFill>
          <a:ln>
            <a:noFill/>
          </a:ln>
          <a:effectLst/>
        </c:spPr>
      </c:pivotFmt>
      <c:pivotFmt>
        <c:idx val="5"/>
        <c:spPr>
          <a:solidFill>
            <a:srgbClr val="C00000"/>
          </a:solidFill>
          <a:ln>
            <a:noFill/>
          </a:ln>
          <a:effectLst/>
        </c:spPr>
      </c:pivotFmt>
      <c:pivotFmt>
        <c:idx val="6"/>
        <c:spPr>
          <a:solidFill>
            <a:srgbClr val="FF0066"/>
          </a:solidFill>
          <a:ln>
            <a:noFill/>
          </a:ln>
          <a:effectLst/>
        </c:spPr>
      </c:pivotFmt>
      <c:pivotFmt>
        <c:idx val="7"/>
        <c:spPr>
          <a:solidFill>
            <a:srgbClr val="C00000"/>
          </a:solidFill>
          <a:ln>
            <a:noFill/>
          </a:ln>
          <a:effectLst/>
        </c:spPr>
      </c:pivotFmt>
      <c:pivotFmt>
        <c:idx val="8"/>
        <c:spPr>
          <a:solidFill>
            <a:srgbClr val="FF0066"/>
          </a:solidFill>
          <a:ln>
            <a:noFill/>
          </a:ln>
          <a:effectLst/>
        </c:spPr>
        <c:dLbl>
          <c:idx val="0"/>
          <c:layout>
            <c:manualLayout>
              <c:x val="-1.1254764754818377E-2"/>
              <c:y val="3.9800995024875619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019212421559199"/>
                  <c:h val="9.1689896971833745E-2"/>
                </c:manualLayout>
              </c15:layout>
            </c:ext>
          </c:extLst>
        </c:dLbl>
      </c:pivotFmt>
    </c:pivotFmts>
    <c:plotArea>
      <c:layout>
        <c:manualLayout>
          <c:layoutTarget val="inner"/>
          <c:xMode val="edge"/>
          <c:yMode val="edge"/>
          <c:x val="0.14723031642876699"/>
          <c:y val="0.1926159230096238"/>
          <c:w val="0.7804182741592669"/>
          <c:h val="0.75645815106445025"/>
        </c:manualLayout>
      </c:layout>
      <c:barChart>
        <c:barDir val="bar"/>
        <c:grouping val="clustered"/>
        <c:varyColors val="0"/>
        <c:ser>
          <c:idx val="0"/>
          <c:order val="0"/>
          <c:tx>
            <c:strRef>
              <c:f>Pivot_Table!$B$7</c:f>
              <c:strCache>
                <c:ptCount val="1"/>
                <c:pt idx="0">
                  <c:v>Total</c:v>
                </c:pt>
              </c:strCache>
            </c:strRef>
          </c:tx>
          <c:spPr>
            <a:solidFill>
              <a:schemeClr val="accent1"/>
            </a:solidFill>
            <a:ln>
              <a:noFill/>
            </a:ln>
            <a:effectLst/>
          </c:spPr>
          <c:invertIfNegative val="0"/>
          <c:dPt>
            <c:idx val="0"/>
            <c:invertIfNegative val="0"/>
            <c:bubble3D val="0"/>
            <c:spPr>
              <a:solidFill>
                <a:srgbClr val="FF0066"/>
              </a:solidFill>
              <a:ln>
                <a:noFill/>
              </a:ln>
              <a:effectLst/>
            </c:spPr>
            <c:extLst>
              <c:ext xmlns:c16="http://schemas.microsoft.com/office/drawing/2014/chart" uri="{C3380CC4-5D6E-409C-BE32-E72D297353CC}">
                <c16:uniqueId val="{00000005-2ED6-4F33-8ED8-0D2D3BD53CF3}"/>
              </c:ext>
            </c:extLst>
          </c:dPt>
          <c:dPt>
            <c:idx val="1"/>
            <c:invertIfNegative val="0"/>
            <c:bubble3D val="0"/>
            <c:spPr>
              <a:solidFill>
                <a:srgbClr val="C00000"/>
              </a:solidFill>
              <a:ln>
                <a:noFill/>
              </a:ln>
              <a:effectLst/>
            </c:spPr>
            <c:extLst>
              <c:ext xmlns:c16="http://schemas.microsoft.com/office/drawing/2014/chart" uri="{C3380CC4-5D6E-409C-BE32-E72D297353CC}">
                <c16:uniqueId val="{00000004-2ED6-4F33-8ED8-0D2D3BD53CF3}"/>
              </c:ext>
            </c:extLst>
          </c:dPt>
          <c:dPt>
            <c:idx val="2"/>
            <c:invertIfNegative val="0"/>
            <c:bubble3D val="0"/>
            <c:spPr>
              <a:solidFill>
                <a:srgbClr val="FF0066"/>
              </a:solidFill>
              <a:ln>
                <a:noFill/>
              </a:ln>
              <a:effectLst/>
            </c:spPr>
            <c:extLst>
              <c:ext xmlns:c16="http://schemas.microsoft.com/office/drawing/2014/chart" uri="{C3380CC4-5D6E-409C-BE32-E72D297353CC}">
                <c16:uniqueId val="{00000003-2ED6-4F33-8ED8-0D2D3BD53CF3}"/>
              </c:ext>
            </c:extLst>
          </c:dPt>
          <c:dPt>
            <c:idx val="3"/>
            <c:invertIfNegative val="0"/>
            <c:bubble3D val="0"/>
            <c:spPr>
              <a:solidFill>
                <a:srgbClr val="C00000"/>
              </a:solidFill>
              <a:ln>
                <a:noFill/>
              </a:ln>
              <a:effectLst/>
            </c:spPr>
            <c:extLst>
              <c:ext xmlns:c16="http://schemas.microsoft.com/office/drawing/2014/chart" uri="{C3380CC4-5D6E-409C-BE32-E72D297353CC}">
                <c16:uniqueId val="{00000002-2ED6-4F33-8ED8-0D2D3BD53CF3}"/>
              </c:ext>
            </c:extLst>
          </c:dPt>
          <c:dPt>
            <c:idx val="4"/>
            <c:invertIfNegative val="0"/>
            <c:bubble3D val="0"/>
            <c:spPr>
              <a:solidFill>
                <a:srgbClr val="FF0066"/>
              </a:solidFill>
              <a:ln>
                <a:noFill/>
              </a:ln>
              <a:effectLst/>
            </c:spPr>
            <c:extLst>
              <c:ext xmlns:c16="http://schemas.microsoft.com/office/drawing/2014/chart" uri="{C3380CC4-5D6E-409C-BE32-E72D297353CC}">
                <c16:uniqueId val="{00000001-2ED6-4F33-8ED8-0D2D3BD53CF3}"/>
              </c:ext>
            </c:extLst>
          </c:dPt>
          <c:dPt>
            <c:idx val="5"/>
            <c:invertIfNegative val="0"/>
            <c:bubble3D val="0"/>
            <c:spPr>
              <a:solidFill>
                <a:srgbClr val="C00000"/>
              </a:solidFill>
              <a:ln>
                <a:noFill/>
              </a:ln>
              <a:effectLst/>
            </c:spPr>
            <c:extLst>
              <c:ext xmlns:c16="http://schemas.microsoft.com/office/drawing/2014/chart" uri="{C3380CC4-5D6E-409C-BE32-E72D297353CC}">
                <c16:uniqueId val="{00000000-2ED6-4F33-8ED8-0D2D3BD53CF3}"/>
              </c:ext>
            </c:extLst>
          </c:dPt>
          <c:dLbls>
            <c:dLbl>
              <c:idx val="0"/>
              <c:layout>
                <c:manualLayout>
                  <c:x val="-1.1254764754818377E-2"/>
                  <c:y val="3.9800995024875619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1019212421559199"/>
                      <c:h val="9.1689896971833745E-2"/>
                    </c:manualLayout>
                  </c15:layout>
                </c:ext>
                <c:ext xmlns:c16="http://schemas.microsoft.com/office/drawing/2014/chart" uri="{C3380CC4-5D6E-409C-BE32-E72D297353CC}">
                  <c16:uniqueId val="{00000005-2ED6-4F33-8ED8-0D2D3BD53CF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Pivot_Table!$A$8:$A$14</c:f>
              <c:strCache>
                <c:ptCount val="6"/>
                <c:pt idx="0">
                  <c:v>Wakefield</c:v>
                </c:pt>
                <c:pt idx="1">
                  <c:v>Truro</c:v>
                </c:pt>
                <c:pt idx="2">
                  <c:v>Wells</c:v>
                </c:pt>
                <c:pt idx="3">
                  <c:v>York</c:v>
                </c:pt>
                <c:pt idx="4">
                  <c:v>Winchester</c:v>
                </c:pt>
                <c:pt idx="5">
                  <c:v>Worcester</c:v>
                </c:pt>
              </c:strCache>
            </c:strRef>
          </c:cat>
          <c:val>
            <c:numRef>
              <c:f>Pivot_Table!$B$8:$B$14</c:f>
              <c:numCache>
                <c:formatCode>"$"#,##0.00</c:formatCode>
                <c:ptCount val="6"/>
                <c:pt idx="0">
                  <c:v>828.9267001500001</c:v>
                </c:pt>
                <c:pt idx="1">
                  <c:v>404.43341353</c:v>
                </c:pt>
                <c:pt idx="2">
                  <c:v>330.16535188000006</c:v>
                </c:pt>
                <c:pt idx="3">
                  <c:v>309.75737827</c:v>
                </c:pt>
                <c:pt idx="4">
                  <c:v>302.07013631000001</c:v>
                </c:pt>
                <c:pt idx="5">
                  <c:v>215.28559637000001</c:v>
                </c:pt>
              </c:numCache>
            </c:numRef>
          </c:val>
          <c:extLst>
            <c:ext xmlns:c16="http://schemas.microsoft.com/office/drawing/2014/chart" uri="{C3380CC4-5D6E-409C-BE32-E72D297353CC}">
              <c16:uniqueId val="{00000000-EE1F-4985-B269-69E8C0ADBE6B}"/>
            </c:ext>
          </c:extLst>
        </c:ser>
        <c:dLbls>
          <c:dLblPos val="outEnd"/>
          <c:showLegendKey val="0"/>
          <c:showVal val="1"/>
          <c:showCatName val="0"/>
          <c:showSerName val="0"/>
          <c:showPercent val="0"/>
          <c:showBubbleSize val="0"/>
        </c:dLbls>
        <c:gapWidth val="57"/>
        <c:axId val="736210320"/>
        <c:axId val="736209240"/>
      </c:barChart>
      <c:catAx>
        <c:axId val="7362103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Bahnschrift Condensed" panose="020B0502040204020203" pitchFamily="34" charset="0"/>
                <a:ea typeface="+mn-ea"/>
                <a:cs typeface="+mn-cs"/>
              </a:defRPr>
            </a:pPr>
            <a:endParaRPr lang="en-US"/>
          </a:p>
        </c:txPr>
        <c:crossAx val="736209240"/>
        <c:crosses val="autoZero"/>
        <c:auto val="1"/>
        <c:lblAlgn val="ctr"/>
        <c:lblOffset val="100"/>
        <c:noMultiLvlLbl val="0"/>
      </c:catAx>
      <c:valAx>
        <c:axId val="736209240"/>
        <c:scaling>
          <c:orientation val="minMax"/>
        </c:scaling>
        <c:delete val="1"/>
        <c:axPos val="b"/>
        <c:numFmt formatCode="&quot;$&quot;#,##0.00" sourceLinked="1"/>
        <c:majorTickMark val="none"/>
        <c:minorTickMark val="none"/>
        <c:tickLblPos val="nextTo"/>
        <c:crossAx val="73621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detail.xlsx]Pivot_Table!PivotTable7</c:name>
    <c:fmtId val="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solidFill>
                  <a:sysClr val="windowText" lastClr="000000"/>
                </a:solidFill>
                <a:latin typeface="Bahnschrift Condensed" panose="020B0502040204020203" pitchFamily="34" charset="0"/>
              </a:rPr>
              <a:t>Top</a:t>
            </a:r>
            <a:r>
              <a:rPr lang="en-US" sz="2000" baseline="0">
                <a:solidFill>
                  <a:sysClr val="windowText" lastClr="000000"/>
                </a:solidFill>
                <a:latin typeface="Bahnschrift Condensed" panose="020B0502040204020203" pitchFamily="34" charset="0"/>
              </a:rPr>
              <a:t> 8 Products by Total Revenue</a:t>
            </a:r>
            <a:endParaRPr lang="en-US" sz="2000">
              <a:solidFill>
                <a:sysClr val="windowText" lastClr="000000"/>
              </a:solidFill>
              <a:latin typeface="Bahnschrift Condensed" panose="020B0502040204020203" pitchFamily="34"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
        <c:idx val="4"/>
        <c:spPr>
          <a:solidFill>
            <a:srgbClr val="FF0066"/>
          </a:solidFill>
          <a:ln>
            <a:noFill/>
          </a:ln>
          <a:effectLst/>
        </c:spPr>
      </c:pivotFmt>
      <c:pivotFmt>
        <c:idx val="5"/>
        <c:spPr>
          <a:solidFill>
            <a:srgbClr val="C00000"/>
          </a:solidFill>
          <a:ln>
            <a:noFill/>
          </a:ln>
          <a:effectLst/>
        </c:spPr>
      </c:pivotFmt>
      <c:pivotFmt>
        <c:idx val="6"/>
        <c:spPr>
          <a:solidFill>
            <a:srgbClr val="FF0066"/>
          </a:solidFill>
          <a:ln>
            <a:noFill/>
          </a:ln>
          <a:effectLst/>
        </c:spPr>
      </c:pivotFmt>
      <c:pivotFmt>
        <c:idx val="7"/>
        <c:spPr>
          <a:solidFill>
            <a:srgbClr val="C00000"/>
          </a:solidFill>
          <a:ln>
            <a:noFill/>
          </a:ln>
          <a:effectLst/>
        </c:spPr>
      </c:pivotFmt>
      <c:pivotFmt>
        <c:idx val="8"/>
        <c:spPr>
          <a:solidFill>
            <a:srgbClr val="FF0066"/>
          </a:solidFill>
          <a:ln>
            <a:noFill/>
          </a:ln>
          <a:effectLst/>
        </c:spPr>
      </c:pivotFmt>
      <c:pivotFmt>
        <c:idx val="9"/>
        <c:spPr>
          <a:solidFill>
            <a:srgbClr val="C00000"/>
          </a:solidFill>
          <a:ln>
            <a:noFill/>
          </a:ln>
          <a:effectLst/>
        </c:spPr>
      </c:pivotFmt>
      <c:pivotFmt>
        <c:idx val="10"/>
        <c:spPr>
          <a:solidFill>
            <a:srgbClr val="FF0066"/>
          </a:solidFill>
          <a:ln>
            <a:noFill/>
          </a:ln>
          <a:effectLst/>
        </c:spPr>
      </c:pivotFmt>
    </c:pivotFmts>
    <c:plotArea>
      <c:layout/>
      <c:barChart>
        <c:barDir val="col"/>
        <c:grouping val="clustered"/>
        <c:varyColors val="0"/>
        <c:ser>
          <c:idx val="0"/>
          <c:order val="0"/>
          <c:tx>
            <c:strRef>
              <c:f>Pivot_Table!$E$7</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2A10-4902-A754-728A4877C527}"/>
              </c:ext>
            </c:extLst>
          </c:dPt>
          <c:dPt>
            <c:idx val="1"/>
            <c:invertIfNegative val="0"/>
            <c:bubble3D val="0"/>
            <c:spPr>
              <a:solidFill>
                <a:srgbClr val="FF0066"/>
              </a:solidFill>
              <a:ln>
                <a:noFill/>
              </a:ln>
              <a:effectLst/>
            </c:spPr>
            <c:extLst>
              <c:ext xmlns:c16="http://schemas.microsoft.com/office/drawing/2014/chart" uri="{C3380CC4-5D6E-409C-BE32-E72D297353CC}">
                <c16:uniqueId val="{00000002-2A10-4902-A754-728A4877C527}"/>
              </c:ext>
            </c:extLst>
          </c:dPt>
          <c:dPt>
            <c:idx val="2"/>
            <c:invertIfNegative val="0"/>
            <c:bubble3D val="0"/>
            <c:spPr>
              <a:solidFill>
                <a:srgbClr val="C00000"/>
              </a:solidFill>
              <a:ln>
                <a:noFill/>
              </a:ln>
              <a:effectLst/>
            </c:spPr>
            <c:extLst>
              <c:ext xmlns:c16="http://schemas.microsoft.com/office/drawing/2014/chart" uri="{C3380CC4-5D6E-409C-BE32-E72D297353CC}">
                <c16:uniqueId val="{00000003-2A10-4902-A754-728A4877C527}"/>
              </c:ext>
            </c:extLst>
          </c:dPt>
          <c:dPt>
            <c:idx val="3"/>
            <c:invertIfNegative val="0"/>
            <c:bubble3D val="0"/>
            <c:spPr>
              <a:solidFill>
                <a:srgbClr val="FF0066"/>
              </a:solidFill>
              <a:ln>
                <a:noFill/>
              </a:ln>
              <a:effectLst/>
            </c:spPr>
            <c:extLst>
              <c:ext xmlns:c16="http://schemas.microsoft.com/office/drawing/2014/chart" uri="{C3380CC4-5D6E-409C-BE32-E72D297353CC}">
                <c16:uniqueId val="{00000004-2A10-4902-A754-728A4877C527}"/>
              </c:ext>
            </c:extLst>
          </c:dPt>
          <c:dPt>
            <c:idx val="4"/>
            <c:invertIfNegative val="0"/>
            <c:bubble3D val="0"/>
            <c:spPr>
              <a:solidFill>
                <a:srgbClr val="C00000"/>
              </a:solidFill>
              <a:ln>
                <a:noFill/>
              </a:ln>
              <a:effectLst/>
            </c:spPr>
            <c:extLst>
              <c:ext xmlns:c16="http://schemas.microsoft.com/office/drawing/2014/chart" uri="{C3380CC4-5D6E-409C-BE32-E72D297353CC}">
                <c16:uniqueId val="{00000005-2A10-4902-A754-728A4877C527}"/>
              </c:ext>
            </c:extLst>
          </c:dPt>
          <c:dPt>
            <c:idx val="5"/>
            <c:invertIfNegative val="0"/>
            <c:bubble3D val="0"/>
            <c:spPr>
              <a:solidFill>
                <a:srgbClr val="FF0066"/>
              </a:solidFill>
              <a:ln>
                <a:noFill/>
              </a:ln>
              <a:effectLst/>
            </c:spPr>
            <c:extLst>
              <c:ext xmlns:c16="http://schemas.microsoft.com/office/drawing/2014/chart" uri="{C3380CC4-5D6E-409C-BE32-E72D297353CC}">
                <c16:uniqueId val="{00000006-2A10-4902-A754-728A4877C527}"/>
              </c:ext>
            </c:extLst>
          </c:dPt>
          <c:dPt>
            <c:idx val="6"/>
            <c:invertIfNegative val="0"/>
            <c:bubble3D val="0"/>
            <c:spPr>
              <a:solidFill>
                <a:srgbClr val="C00000"/>
              </a:solidFill>
              <a:ln>
                <a:noFill/>
              </a:ln>
              <a:effectLst/>
            </c:spPr>
            <c:extLst>
              <c:ext xmlns:c16="http://schemas.microsoft.com/office/drawing/2014/chart" uri="{C3380CC4-5D6E-409C-BE32-E72D297353CC}">
                <c16:uniqueId val="{00000007-2A10-4902-A754-728A4877C527}"/>
              </c:ext>
            </c:extLst>
          </c:dPt>
          <c:dPt>
            <c:idx val="7"/>
            <c:invertIfNegative val="0"/>
            <c:bubble3D val="0"/>
            <c:spPr>
              <a:solidFill>
                <a:srgbClr val="FF0066"/>
              </a:solidFill>
              <a:ln>
                <a:noFill/>
              </a:ln>
              <a:effectLst/>
            </c:spPr>
            <c:extLst>
              <c:ext xmlns:c16="http://schemas.microsoft.com/office/drawing/2014/chart" uri="{C3380CC4-5D6E-409C-BE32-E72D297353CC}">
                <c16:uniqueId val="{00000008-2A10-4902-A754-728A4877C52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Pivot_Table!$D$8:$D$16</c:f>
              <c:strCache>
                <c:ptCount val="8"/>
                <c:pt idx="0">
                  <c:v>Formal Shirts</c:v>
                </c:pt>
                <c:pt idx="1">
                  <c:v>Pants</c:v>
                </c:pt>
                <c:pt idx="2">
                  <c:v>Pyjamas</c:v>
                </c:pt>
                <c:pt idx="3">
                  <c:v>Knitwear</c:v>
                </c:pt>
                <c:pt idx="4">
                  <c:v>Shorts</c:v>
                </c:pt>
                <c:pt idx="5">
                  <c:v>Suits</c:v>
                </c:pt>
                <c:pt idx="6">
                  <c:v>Casual Shirts</c:v>
                </c:pt>
                <c:pt idx="7">
                  <c:v>Belts</c:v>
                </c:pt>
              </c:strCache>
            </c:strRef>
          </c:cat>
          <c:val>
            <c:numRef>
              <c:f>Pivot_Table!$E$8:$E$16</c:f>
              <c:numCache>
                <c:formatCode>"$"#,##0.00</c:formatCode>
                <c:ptCount val="8"/>
                <c:pt idx="0">
                  <c:v>291.90186356999999</c:v>
                </c:pt>
                <c:pt idx="1">
                  <c:v>212.75635004000003</c:v>
                </c:pt>
                <c:pt idx="2">
                  <c:v>196.45854758000002</c:v>
                </c:pt>
                <c:pt idx="3">
                  <c:v>180.50277937999999</c:v>
                </c:pt>
                <c:pt idx="4">
                  <c:v>177.57052987999998</c:v>
                </c:pt>
                <c:pt idx="5">
                  <c:v>175.48614799999999</c:v>
                </c:pt>
                <c:pt idx="6">
                  <c:v>165.28297734</c:v>
                </c:pt>
                <c:pt idx="7">
                  <c:v>149.66257250000001</c:v>
                </c:pt>
              </c:numCache>
            </c:numRef>
          </c:val>
          <c:extLst>
            <c:ext xmlns:c16="http://schemas.microsoft.com/office/drawing/2014/chart" uri="{C3380CC4-5D6E-409C-BE32-E72D297353CC}">
              <c16:uniqueId val="{00000000-2A10-4902-A754-728A4877C527}"/>
            </c:ext>
          </c:extLst>
        </c:ser>
        <c:dLbls>
          <c:dLblPos val="outEnd"/>
          <c:showLegendKey val="0"/>
          <c:showVal val="1"/>
          <c:showCatName val="0"/>
          <c:showSerName val="0"/>
          <c:showPercent val="0"/>
          <c:showBubbleSize val="0"/>
        </c:dLbls>
        <c:gapWidth val="92"/>
        <c:overlap val="-27"/>
        <c:axId val="564875688"/>
        <c:axId val="564871008"/>
      </c:barChart>
      <c:catAx>
        <c:axId val="5648756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crossAx val="564871008"/>
        <c:crosses val="autoZero"/>
        <c:auto val="1"/>
        <c:lblAlgn val="ctr"/>
        <c:lblOffset val="100"/>
        <c:noMultiLvlLbl val="0"/>
      </c:catAx>
      <c:valAx>
        <c:axId val="564871008"/>
        <c:scaling>
          <c:orientation val="minMax"/>
        </c:scaling>
        <c:delete val="1"/>
        <c:axPos val="l"/>
        <c:majorGridlines>
          <c:spPr>
            <a:ln w="9525" cap="flat" cmpd="sng" algn="ctr">
              <a:noFill/>
              <a:round/>
            </a:ln>
            <a:effectLst/>
          </c:spPr>
        </c:majorGridlines>
        <c:numFmt formatCode="&quot;$&quot;#,##0.00" sourceLinked="1"/>
        <c:majorTickMark val="none"/>
        <c:minorTickMark val="none"/>
        <c:tickLblPos val="nextTo"/>
        <c:crossAx val="564875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detail.xlsx]Pivot_Table!PivotTable9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ysClr val="windowText" lastClr="000000"/>
                </a:solidFill>
                <a:latin typeface="Bahnschrift Condensed" panose="020B0502040204020203" pitchFamily="34" charset="0"/>
              </a:rPr>
              <a:t>Product</a:t>
            </a:r>
            <a:r>
              <a:rPr lang="en-US" sz="2000" baseline="0">
                <a:solidFill>
                  <a:sysClr val="windowText" lastClr="000000"/>
                </a:solidFill>
                <a:latin typeface="Bahnschrift Condensed" panose="020B0502040204020203" pitchFamily="34" charset="0"/>
              </a:rPr>
              <a:t> Category by Total Revenue</a:t>
            </a:r>
            <a:endParaRPr lang="en-US" sz="2000">
              <a:solidFill>
                <a:sysClr val="windowText" lastClr="000000"/>
              </a:solidFill>
              <a:latin typeface="Bahnschrift Condense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w="19050">
            <a:solidFill>
              <a:schemeClr val="lt1"/>
            </a:solidFill>
          </a:ln>
          <a:effectLst/>
        </c:spPr>
        <c:dLbl>
          <c:idx val="0"/>
          <c:layout>
            <c:manualLayout>
              <c:x val="0.13055555555555556"/>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66"/>
          </a:solidFill>
          <a:ln w="19050">
            <a:solidFill>
              <a:schemeClr val="lt1"/>
            </a:solidFill>
          </a:ln>
          <a:effectLst/>
        </c:spPr>
        <c:dLbl>
          <c:idx val="0"/>
          <c:layout>
            <c:manualLayout>
              <c:x val="-0.18888877952755906"/>
              <c:y val="-1.3888706620005917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8972222222222211E-2"/>
                  <c:h val="4.6227034120734901E-2"/>
                </c:manualLayout>
              </c15:layout>
            </c:ext>
          </c:extLst>
        </c:dLbl>
      </c:pivotFmt>
      <c:pivotFmt>
        <c:idx val="9"/>
        <c:spPr>
          <a:solidFill>
            <a:srgbClr val="FF0000"/>
          </a:solidFill>
          <a:ln w="19050">
            <a:solidFill>
              <a:schemeClr val="lt1"/>
            </a:solidFill>
          </a:ln>
          <a:effectLst/>
        </c:spPr>
        <c:dLbl>
          <c:idx val="0"/>
          <c:layout>
            <c:manualLayout>
              <c:x val="-0.17499999999999999"/>
              <c:y val="-0.1716868012797019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D97A9"/>
          </a:solidFill>
          <a:ln w="19050">
            <a:solidFill>
              <a:schemeClr val="lt1"/>
            </a:solidFill>
          </a:ln>
          <a:effectLst/>
        </c:spPr>
        <c:dLbl>
          <c:idx val="0"/>
          <c:layout>
            <c:manualLayout>
              <c:x val="0.18611122047244094"/>
              <c:y val="-0.15740740740740741"/>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8972222222222211E-2"/>
                  <c:h val="7.4004811898512685E-2"/>
                </c:manualLayout>
              </c15:layout>
            </c:ext>
          </c:extLst>
        </c:dLbl>
      </c:pivotFmt>
    </c:pivotFmts>
    <c:plotArea>
      <c:layout/>
      <c:doughnutChart>
        <c:varyColors val="1"/>
        <c:ser>
          <c:idx val="0"/>
          <c:order val="0"/>
          <c:tx>
            <c:strRef>
              <c:f>Pivot_Table!$K$7</c:f>
              <c:strCache>
                <c:ptCount val="1"/>
                <c:pt idx="0">
                  <c:v>Total</c:v>
                </c:pt>
              </c:strCache>
            </c:strRef>
          </c:tx>
          <c:explosion val="3"/>
          <c:dPt>
            <c:idx val="0"/>
            <c:bubble3D val="0"/>
            <c:spPr>
              <a:solidFill>
                <a:srgbClr val="C00000"/>
              </a:solidFill>
              <a:ln w="19050">
                <a:solidFill>
                  <a:schemeClr val="lt1"/>
                </a:solidFill>
              </a:ln>
              <a:effectLst/>
            </c:spPr>
            <c:extLst>
              <c:ext xmlns:c16="http://schemas.microsoft.com/office/drawing/2014/chart" uri="{C3380CC4-5D6E-409C-BE32-E72D297353CC}">
                <c16:uniqueId val="{00000001-B164-4EB3-9E3D-E338980B3367}"/>
              </c:ext>
            </c:extLst>
          </c:dPt>
          <c:dPt>
            <c:idx val="1"/>
            <c:bubble3D val="0"/>
            <c:spPr>
              <a:solidFill>
                <a:srgbClr val="FF0066"/>
              </a:solidFill>
              <a:ln w="19050">
                <a:solidFill>
                  <a:schemeClr val="lt1"/>
                </a:solidFill>
              </a:ln>
              <a:effectLst/>
            </c:spPr>
            <c:extLst>
              <c:ext xmlns:c16="http://schemas.microsoft.com/office/drawing/2014/chart" uri="{C3380CC4-5D6E-409C-BE32-E72D297353CC}">
                <c16:uniqueId val="{00000003-B164-4EB3-9E3D-E338980B3367}"/>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B164-4EB3-9E3D-E338980B3367}"/>
              </c:ext>
            </c:extLst>
          </c:dPt>
          <c:dPt>
            <c:idx val="3"/>
            <c:bubble3D val="0"/>
            <c:spPr>
              <a:solidFill>
                <a:srgbClr val="ED97A9"/>
              </a:solidFill>
              <a:ln w="19050">
                <a:solidFill>
                  <a:schemeClr val="lt1"/>
                </a:solidFill>
              </a:ln>
              <a:effectLst/>
            </c:spPr>
            <c:extLst>
              <c:ext xmlns:c16="http://schemas.microsoft.com/office/drawing/2014/chart" uri="{C3380CC4-5D6E-409C-BE32-E72D297353CC}">
                <c16:uniqueId val="{00000007-B164-4EB3-9E3D-E338980B3367}"/>
              </c:ext>
            </c:extLst>
          </c:dPt>
          <c:dLbls>
            <c:dLbl>
              <c:idx val="0"/>
              <c:layout>
                <c:manualLayout>
                  <c:x val="0.13055555555555556"/>
                  <c:y val="-0.11111111111111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64-4EB3-9E3D-E338980B3367}"/>
                </c:ext>
              </c:extLst>
            </c:dLbl>
            <c:dLbl>
              <c:idx val="1"/>
              <c:layout>
                <c:manualLayout>
                  <c:x val="-0.18888877952755906"/>
                  <c:y val="-1.3888706620005917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8972222222222211E-2"/>
                      <c:h val="4.6227034120734901E-2"/>
                    </c:manualLayout>
                  </c15:layout>
                </c:ext>
                <c:ext xmlns:c16="http://schemas.microsoft.com/office/drawing/2014/chart" uri="{C3380CC4-5D6E-409C-BE32-E72D297353CC}">
                  <c16:uniqueId val="{00000003-B164-4EB3-9E3D-E338980B3367}"/>
                </c:ext>
              </c:extLst>
            </c:dLbl>
            <c:dLbl>
              <c:idx val="2"/>
              <c:layout>
                <c:manualLayout>
                  <c:x val="-0.17499999999999999"/>
                  <c:y val="-0.171686801279701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164-4EB3-9E3D-E338980B3367}"/>
                </c:ext>
              </c:extLst>
            </c:dLbl>
            <c:dLbl>
              <c:idx val="3"/>
              <c:layout>
                <c:manualLayout>
                  <c:x val="0.18611122047244094"/>
                  <c:y val="-0.15740740740740741"/>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8972222222222211E-2"/>
                      <c:h val="7.4004811898512685E-2"/>
                    </c:manualLayout>
                  </c15:layout>
                </c:ext>
                <c:ext xmlns:c16="http://schemas.microsoft.com/office/drawing/2014/chart" uri="{C3380CC4-5D6E-409C-BE32-E72D297353CC}">
                  <c16:uniqueId val="{00000007-B164-4EB3-9E3D-E338980B336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Pivot_Table!$J$8:$J$12</c:f>
              <c:strCache>
                <c:ptCount val="4"/>
                <c:pt idx="0">
                  <c:v>Womenswear</c:v>
                </c:pt>
                <c:pt idx="1">
                  <c:v>Menswear</c:v>
                </c:pt>
                <c:pt idx="2">
                  <c:v>Accessories</c:v>
                </c:pt>
                <c:pt idx="3">
                  <c:v>Sports</c:v>
                </c:pt>
              </c:strCache>
            </c:strRef>
          </c:cat>
          <c:val>
            <c:numRef>
              <c:f>Pivot_Table!$K$8:$K$12</c:f>
              <c:numCache>
                <c:formatCode>"$"#,##0.00</c:formatCode>
                <c:ptCount val="4"/>
                <c:pt idx="0">
                  <c:v>1097.7054211499999</c:v>
                </c:pt>
                <c:pt idx="1">
                  <c:v>933.16672304000008</c:v>
                </c:pt>
                <c:pt idx="2">
                  <c:v>220.49460435000003</c:v>
                </c:pt>
                <c:pt idx="3">
                  <c:v>139.27182797</c:v>
                </c:pt>
              </c:numCache>
            </c:numRef>
          </c:val>
          <c:extLst>
            <c:ext xmlns:c16="http://schemas.microsoft.com/office/drawing/2014/chart" uri="{C3380CC4-5D6E-409C-BE32-E72D297353CC}">
              <c16:uniqueId val="{00000008-B164-4EB3-9E3D-E338980B3367}"/>
            </c:ext>
          </c:extLst>
        </c:ser>
        <c:dLbls>
          <c:showLegendKey val="0"/>
          <c:showVal val="1"/>
          <c:showCatName val="0"/>
          <c:showSerName val="0"/>
          <c:showPercent val="0"/>
          <c:showBubbleSize val="0"/>
          <c:showLeaderLines val="1"/>
        </c:dLbls>
        <c:firstSliceAng val="0"/>
        <c:holeSize val="4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Condensed"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detail.xlsx]Pivot_Table!PivotTable15</c:name>
    <c:fmtId val="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solidFill>
                  <a:sysClr val="windowText" lastClr="000000"/>
                </a:solidFill>
                <a:latin typeface="Bahnschrift Condensed" panose="020B0502040204020203" pitchFamily="34" charset="0"/>
              </a:rPr>
              <a:t>Week_On_Week</a:t>
            </a:r>
            <a:r>
              <a:rPr lang="en-US" sz="2000" baseline="0">
                <a:solidFill>
                  <a:sysClr val="windowText" lastClr="000000"/>
                </a:solidFill>
                <a:latin typeface="Bahnschrift Condensed" panose="020B0502040204020203" pitchFamily="34" charset="0"/>
              </a:rPr>
              <a:t> Analysis Revenue</a:t>
            </a:r>
            <a:endParaRPr lang="en-US" sz="2000">
              <a:solidFill>
                <a:sysClr val="windowText" lastClr="000000"/>
              </a:solidFill>
              <a:latin typeface="Bahnschrift Condensed" panose="020B0502040204020203" pitchFamily="34"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66"/>
          </a:solidFill>
          <a:ln>
            <a:noFill/>
          </a:ln>
          <a:effectLst/>
        </c:spPr>
        <c:dLbl>
          <c:idx val="0"/>
          <c:layout>
            <c:manualLayout>
              <c:x val="-7.2249589490968796E-2"/>
              <c:y val="4.391217564870256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pivotFmt>
      <c:pivotFmt>
        <c:idx val="8"/>
        <c:spPr>
          <a:solidFill>
            <a:srgbClr val="C00000"/>
          </a:solidFill>
          <a:ln>
            <a:noFill/>
          </a:ln>
          <a:effectLst/>
        </c:spPr>
      </c:pivotFmt>
      <c:pivotFmt>
        <c:idx val="9"/>
        <c:spPr>
          <a:solidFill>
            <a:srgbClr val="FF0066"/>
          </a:solidFill>
          <a:ln>
            <a:noFill/>
          </a:ln>
          <a:effectLst/>
        </c:spPr>
      </c:pivotFmt>
      <c:pivotFmt>
        <c:idx val="10"/>
        <c:spPr>
          <a:ln w="28575" cap="rnd">
            <a:solidFill>
              <a:srgbClr val="FF0000"/>
            </a:solidFill>
            <a:round/>
          </a:ln>
          <a:effectLst/>
        </c:spPr>
        <c:marker>
          <c:symbol val="none"/>
        </c:marker>
        <c:dLbl>
          <c:idx val="0"/>
          <c:layout>
            <c:manualLayout>
              <c:x val="1.9704433497536866E-2"/>
              <c:y val="-4.391217564870259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layout>
            <c:manualLayout>
              <c:x val="1.7515051997810699E-2"/>
              <c:y val="3.9920159680637991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layout>
            <c:manualLayout>
              <c:x val="1.532567049808429E-2"/>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Pivot_Table!$E$29</c:f>
              <c:strCache>
                <c:ptCount val="1"/>
                <c:pt idx="0">
                  <c:v>Total_Revenue</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1-98B7-4E08-AB0C-2E60B85E01ED}"/>
              </c:ext>
            </c:extLst>
          </c:dPt>
          <c:dPt>
            <c:idx val="1"/>
            <c:invertIfNegative val="0"/>
            <c:bubble3D val="0"/>
            <c:spPr>
              <a:solidFill>
                <a:srgbClr val="FF0066"/>
              </a:solidFill>
              <a:ln>
                <a:noFill/>
              </a:ln>
              <a:effectLst/>
            </c:spPr>
            <c:extLst>
              <c:ext xmlns:c16="http://schemas.microsoft.com/office/drawing/2014/chart" uri="{C3380CC4-5D6E-409C-BE32-E72D297353CC}">
                <c16:uniqueId val="{00000003-4EB2-476A-91E1-89F20922C869}"/>
              </c:ext>
            </c:extLst>
          </c:dPt>
          <c:dPt>
            <c:idx val="2"/>
            <c:invertIfNegative val="0"/>
            <c:bubble3D val="0"/>
            <c:extLst>
              <c:ext xmlns:c16="http://schemas.microsoft.com/office/drawing/2014/chart" uri="{C3380CC4-5D6E-409C-BE32-E72D297353CC}">
                <c16:uniqueId val="{00000004-98B7-4E08-AB0C-2E60B85E01ED}"/>
              </c:ext>
            </c:extLst>
          </c:dPt>
          <c:dPt>
            <c:idx val="3"/>
            <c:invertIfNegative val="0"/>
            <c:bubble3D val="0"/>
            <c:spPr>
              <a:solidFill>
                <a:srgbClr val="FF0066"/>
              </a:solidFill>
              <a:ln>
                <a:noFill/>
              </a:ln>
              <a:effectLst/>
            </c:spPr>
            <c:extLst>
              <c:ext xmlns:c16="http://schemas.microsoft.com/office/drawing/2014/chart" uri="{C3380CC4-5D6E-409C-BE32-E72D297353CC}">
                <c16:uniqueId val="{00000006-4EB2-476A-91E1-89F20922C869}"/>
              </c:ext>
            </c:extLst>
          </c:dPt>
          <c:dLbls>
            <c:dLbl>
              <c:idx val="1"/>
              <c:layout>
                <c:manualLayout>
                  <c:x val="-7.2249589490968796E-2"/>
                  <c:y val="4.39121756487025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EB2-476A-91E1-89F20922C869}"/>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Pivot_Table!$D$30:$D$35</c:f>
              <c:strCache>
                <c:ptCount val="5"/>
                <c:pt idx="0">
                  <c:v>23</c:v>
                </c:pt>
                <c:pt idx="1">
                  <c:v>24</c:v>
                </c:pt>
                <c:pt idx="2">
                  <c:v>25</c:v>
                </c:pt>
                <c:pt idx="3">
                  <c:v>26</c:v>
                </c:pt>
                <c:pt idx="4">
                  <c:v>27</c:v>
                </c:pt>
              </c:strCache>
            </c:strRef>
          </c:cat>
          <c:val>
            <c:numRef>
              <c:f>Pivot_Table!$E$30:$E$35</c:f>
              <c:numCache>
                <c:formatCode>"$"#,##0.00</c:formatCode>
                <c:ptCount val="5"/>
                <c:pt idx="0">
                  <c:v>414.17263438999998</c:v>
                </c:pt>
                <c:pt idx="1">
                  <c:v>692.38375389000009</c:v>
                </c:pt>
                <c:pt idx="2">
                  <c:v>638.04008345000011</c:v>
                </c:pt>
                <c:pt idx="3">
                  <c:v>497.94393650000006</c:v>
                </c:pt>
                <c:pt idx="4">
                  <c:v>148.09816827999998</c:v>
                </c:pt>
              </c:numCache>
            </c:numRef>
          </c:val>
          <c:extLst>
            <c:ext xmlns:c16="http://schemas.microsoft.com/office/drawing/2014/chart" uri="{C3380CC4-5D6E-409C-BE32-E72D297353CC}">
              <c16:uniqueId val="{00000000-4EB2-476A-91E1-89F20922C869}"/>
            </c:ext>
          </c:extLst>
        </c:ser>
        <c:dLbls>
          <c:showLegendKey val="0"/>
          <c:showVal val="1"/>
          <c:showCatName val="0"/>
          <c:showSerName val="0"/>
          <c:showPercent val="0"/>
          <c:showBubbleSize val="0"/>
        </c:dLbls>
        <c:gapWidth val="130"/>
        <c:overlap val="-27"/>
        <c:axId val="564874608"/>
        <c:axId val="564875328"/>
      </c:barChart>
      <c:lineChart>
        <c:grouping val="standard"/>
        <c:varyColors val="0"/>
        <c:ser>
          <c:idx val="1"/>
          <c:order val="1"/>
          <c:tx>
            <c:strRef>
              <c:f>Pivot_Table!$F$29</c:f>
              <c:strCache>
                <c:ptCount val="1"/>
                <c:pt idx="0">
                  <c:v>Week_over_week_analysis</c:v>
                </c:pt>
              </c:strCache>
            </c:strRef>
          </c:tx>
          <c:spPr>
            <a:ln w="28575" cap="rnd">
              <a:solidFill>
                <a:srgbClr val="FF0000"/>
              </a:solidFill>
              <a:round/>
            </a:ln>
            <a:effectLst/>
          </c:spPr>
          <c:marker>
            <c:symbol val="none"/>
          </c:marker>
          <c:dPt>
            <c:idx val="1"/>
            <c:marker>
              <c:symbol val="none"/>
            </c:marker>
            <c:bubble3D val="0"/>
            <c:extLst>
              <c:ext xmlns:c16="http://schemas.microsoft.com/office/drawing/2014/chart" uri="{C3380CC4-5D6E-409C-BE32-E72D297353CC}">
                <c16:uniqueId val="{00000007-98B7-4E08-AB0C-2E60B85E01ED}"/>
              </c:ext>
            </c:extLst>
          </c:dPt>
          <c:dPt>
            <c:idx val="2"/>
            <c:marker>
              <c:symbol val="none"/>
            </c:marker>
            <c:bubble3D val="0"/>
            <c:spPr>
              <a:ln w="28575" cap="rnd">
                <a:solidFill>
                  <a:srgbClr val="FF0000"/>
                </a:solidFill>
                <a:round/>
              </a:ln>
              <a:effectLst/>
            </c:spPr>
            <c:extLst>
              <c:ext xmlns:c16="http://schemas.microsoft.com/office/drawing/2014/chart" uri="{C3380CC4-5D6E-409C-BE32-E72D297353CC}">
                <c16:uniqueId val="{00000007-4EB2-476A-91E1-89F20922C869}"/>
              </c:ext>
            </c:extLst>
          </c:dPt>
          <c:dPt>
            <c:idx val="3"/>
            <c:marker>
              <c:symbol val="none"/>
            </c:marker>
            <c:bubble3D val="0"/>
            <c:spPr>
              <a:ln w="28575" cap="rnd">
                <a:solidFill>
                  <a:srgbClr val="FF0000"/>
                </a:solidFill>
                <a:round/>
              </a:ln>
              <a:effectLst/>
            </c:spPr>
            <c:extLst>
              <c:ext xmlns:c16="http://schemas.microsoft.com/office/drawing/2014/chart" uri="{C3380CC4-5D6E-409C-BE32-E72D297353CC}">
                <c16:uniqueId val="{00000008-4EB2-476A-91E1-89F20922C869}"/>
              </c:ext>
            </c:extLst>
          </c:dPt>
          <c:dPt>
            <c:idx val="4"/>
            <c:marker>
              <c:symbol val="none"/>
            </c:marker>
            <c:bubble3D val="0"/>
            <c:spPr>
              <a:ln w="28575" cap="rnd">
                <a:solidFill>
                  <a:srgbClr val="FF0000"/>
                </a:solidFill>
                <a:round/>
              </a:ln>
              <a:effectLst/>
            </c:spPr>
            <c:extLst>
              <c:ext xmlns:c16="http://schemas.microsoft.com/office/drawing/2014/chart" uri="{C3380CC4-5D6E-409C-BE32-E72D297353CC}">
                <c16:uniqueId val="{00000009-4EB2-476A-91E1-89F20922C869}"/>
              </c:ext>
            </c:extLst>
          </c:dPt>
          <c:dLbls>
            <c:dLbl>
              <c:idx val="2"/>
              <c:layout>
                <c:manualLayout>
                  <c:x val="1.9704433497536866E-2"/>
                  <c:y val="-4.39121756487025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EB2-476A-91E1-89F20922C869}"/>
                </c:ext>
              </c:extLst>
            </c:dLbl>
            <c:dLbl>
              <c:idx val="3"/>
              <c:layout>
                <c:manualLayout>
                  <c:x val="1.7515051997810699E-2"/>
                  <c:y val="3.992015968063799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EB2-476A-91E1-89F20922C869}"/>
                </c:ext>
              </c:extLst>
            </c:dLbl>
            <c:dLbl>
              <c:idx val="4"/>
              <c:layout>
                <c:manualLayout>
                  <c:x val="1.53256704980842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EB2-476A-91E1-89F20922C869}"/>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Pivot_Table!$D$30:$D$35</c:f>
              <c:strCache>
                <c:ptCount val="5"/>
                <c:pt idx="0">
                  <c:v>23</c:v>
                </c:pt>
                <c:pt idx="1">
                  <c:v>24</c:v>
                </c:pt>
                <c:pt idx="2">
                  <c:v>25</c:v>
                </c:pt>
                <c:pt idx="3">
                  <c:v>26</c:v>
                </c:pt>
                <c:pt idx="4">
                  <c:v>27</c:v>
                </c:pt>
              </c:strCache>
            </c:strRef>
          </c:cat>
          <c:val>
            <c:numRef>
              <c:f>Pivot_Table!$F$30:$F$35</c:f>
              <c:numCache>
                <c:formatCode>0.00%</c:formatCode>
                <c:ptCount val="5"/>
                <c:pt idx="1">
                  <c:v>0.67172743054295181</c:v>
                </c:pt>
                <c:pt idx="2">
                  <c:v>-7.8487789660982757E-2</c:v>
                </c:pt>
                <c:pt idx="3">
                  <c:v>-0.21957264219588588</c:v>
                </c:pt>
                <c:pt idx="4">
                  <c:v>-0.70258063724810527</c:v>
                </c:pt>
              </c:numCache>
            </c:numRef>
          </c:val>
          <c:smooth val="0"/>
          <c:extLst>
            <c:ext xmlns:c16="http://schemas.microsoft.com/office/drawing/2014/chart" uri="{C3380CC4-5D6E-409C-BE32-E72D297353CC}">
              <c16:uniqueId val="{00000001-4EB2-476A-91E1-89F20922C869}"/>
            </c:ext>
          </c:extLst>
        </c:ser>
        <c:dLbls>
          <c:showLegendKey val="0"/>
          <c:showVal val="1"/>
          <c:showCatName val="0"/>
          <c:showSerName val="0"/>
          <c:showPercent val="0"/>
          <c:showBubbleSize val="0"/>
        </c:dLbls>
        <c:marker val="1"/>
        <c:smooth val="0"/>
        <c:axId val="486234024"/>
        <c:axId val="481048392"/>
      </c:lineChart>
      <c:catAx>
        <c:axId val="56487460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crossAx val="564875328"/>
        <c:crosses val="autoZero"/>
        <c:auto val="1"/>
        <c:lblAlgn val="ctr"/>
        <c:lblOffset val="100"/>
        <c:noMultiLvlLbl val="0"/>
      </c:catAx>
      <c:valAx>
        <c:axId val="564875328"/>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crossAx val="564874608"/>
        <c:crosses val="autoZero"/>
        <c:crossBetween val="between"/>
      </c:valAx>
      <c:valAx>
        <c:axId val="4810483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crossAx val="486234024"/>
        <c:crosses val="max"/>
        <c:crossBetween val="between"/>
      </c:valAx>
      <c:catAx>
        <c:axId val="486234024"/>
        <c:scaling>
          <c:orientation val="minMax"/>
        </c:scaling>
        <c:delete val="1"/>
        <c:axPos val="t"/>
        <c:numFmt formatCode="General" sourceLinked="1"/>
        <c:majorTickMark val="out"/>
        <c:minorTickMark val="none"/>
        <c:tickLblPos val="nextTo"/>
        <c:crossAx val="481048392"/>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detail.xlsx]Pivot_Table!PivotTable10</c:name>
    <c:fmtId val="3"/>
  </c:pivotSource>
  <c:chart>
    <c:title>
      <c:tx>
        <c:rich>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r>
              <a:rPr lang="en-US" sz="2400" b="0">
                <a:solidFill>
                  <a:sysClr val="windowText" lastClr="000000"/>
                </a:solidFill>
                <a:latin typeface="Bahnschrift Condensed" panose="020B0502040204020203" pitchFamily="34" charset="0"/>
              </a:rPr>
              <a:t>Total Revenue by Day</a:t>
            </a:r>
          </a:p>
        </c:rich>
      </c:tx>
      <c:layout>
        <c:manualLayout>
          <c:xMode val="edge"/>
          <c:yMode val="edge"/>
          <c:x val="0.32937748850763432"/>
          <c:y val="2.7777777777777776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C00000"/>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Pivot_Table!$H$15</c:f>
              <c:strCache>
                <c:ptCount val="1"/>
                <c:pt idx="0">
                  <c:v>Total</c:v>
                </c:pt>
              </c:strCache>
            </c:strRef>
          </c:tx>
          <c:spPr>
            <a:ln w="31750" cap="rnd">
              <a:solidFill>
                <a:srgbClr val="C00000"/>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Pivot_Table!$G$16:$G$23</c:f>
              <c:strCache>
                <c:ptCount val="7"/>
                <c:pt idx="0">
                  <c:v>Wednesday</c:v>
                </c:pt>
                <c:pt idx="1">
                  <c:v>Friday</c:v>
                </c:pt>
                <c:pt idx="2">
                  <c:v>Saturday</c:v>
                </c:pt>
                <c:pt idx="3">
                  <c:v>Tuesday</c:v>
                </c:pt>
                <c:pt idx="4">
                  <c:v>Sunday</c:v>
                </c:pt>
                <c:pt idx="5">
                  <c:v>Thursday</c:v>
                </c:pt>
                <c:pt idx="6">
                  <c:v>Monday</c:v>
                </c:pt>
              </c:strCache>
            </c:strRef>
          </c:cat>
          <c:val>
            <c:numRef>
              <c:f>Pivot_Table!$H$16:$H$23</c:f>
              <c:numCache>
                <c:formatCode>"$"#,##0.00</c:formatCode>
                <c:ptCount val="7"/>
                <c:pt idx="0">
                  <c:v>578.52047515999993</c:v>
                </c:pt>
                <c:pt idx="1">
                  <c:v>435.25504847000002</c:v>
                </c:pt>
                <c:pt idx="2">
                  <c:v>346.57027406999998</c:v>
                </c:pt>
                <c:pt idx="3">
                  <c:v>291.36585979</c:v>
                </c:pt>
                <c:pt idx="4">
                  <c:v>272.92432274999999</c:v>
                </c:pt>
                <c:pt idx="5">
                  <c:v>258.64810334999999</c:v>
                </c:pt>
                <c:pt idx="6">
                  <c:v>207.35449292000001</c:v>
                </c:pt>
              </c:numCache>
            </c:numRef>
          </c:val>
          <c:smooth val="0"/>
          <c:extLst>
            <c:ext xmlns:c16="http://schemas.microsoft.com/office/drawing/2014/chart" uri="{C3380CC4-5D6E-409C-BE32-E72D297353CC}">
              <c16:uniqueId val="{00000000-D842-465B-8B9C-EF3B3BADF207}"/>
            </c:ext>
          </c:extLst>
        </c:ser>
        <c:dLbls>
          <c:dLblPos val="t"/>
          <c:showLegendKey val="0"/>
          <c:showVal val="1"/>
          <c:showCatName val="0"/>
          <c:showSerName val="0"/>
          <c:showPercent val="0"/>
          <c:showBubbleSize val="0"/>
        </c:dLbls>
        <c:marker val="1"/>
        <c:smooth val="0"/>
        <c:axId val="391430280"/>
        <c:axId val="391429200"/>
      </c:lineChart>
      <c:catAx>
        <c:axId val="39143028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crossAx val="391429200"/>
        <c:crosses val="autoZero"/>
        <c:auto val="1"/>
        <c:lblAlgn val="ctr"/>
        <c:lblOffset val="100"/>
        <c:noMultiLvlLbl val="0"/>
      </c:catAx>
      <c:valAx>
        <c:axId val="391429200"/>
        <c:scaling>
          <c:orientation val="minMax"/>
        </c:scaling>
        <c:delete val="1"/>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crossAx val="391430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detail.xlsx]Pivot_Table!PivotTable13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ysClr val="windowText" lastClr="000000"/>
                </a:solidFill>
                <a:latin typeface="Bahnschrift Condensed" panose="020B0502040204020203" pitchFamily="34" charset="0"/>
              </a:rPr>
              <a:t>Top</a:t>
            </a:r>
            <a:r>
              <a:rPr lang="en-US" sz="2000" baseline="0">
                <a:solidFill>
                  <a:sysClr val="windowText" lastClr="000000"/>
                </a:solidFill>
                <a:latin typeface="Bahnschrift Condensed" panose="020B0502040204020203" pitchFamily="34" charset="0"/>
              </a:rPr>
              <a:t> 5 products by Total Quantity Sold</a:t>
            </a:r>
            <a:endParaRPr lang="en-US" sz="2000">
              <a:solidFill>
                <a:sysClr val="windowText" lastClr="000000"/>
              </a:solidFill>
              <a:latin typeface="Bahnschrift Condense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66"/>
          </a:solidFill>
          <a:ln>
            <a:solidFill>
              <a:srgbClr val="27652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Bahnschrift Condense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66"/>
          </a:solidFill>
          <a:ln>
            <a:solidFill>
              <a:srgbClr val="2D911F"/>
            </a:solidFill>
          </a:ln>
          <a:effectLst/>
        </c:spPr>
      </c:pivotFmt>
      <c:pivotFmt>
        <c:idx val="4"/>
        <c:spPr>
          <a:solidFill>
            <a:srgbClr val="C00000"/>
          </a:solidFill>
          <a:ln>
            <a:noFill/>
          </a:ln>
          <a:effectLst/>
        </c:spPr>
      </c:pivotFmt>
      <c:pivotFmt>
        <c:idx val="5"/>
        <c:spPr>
          <a:solidFill>
            <a:srgbClr val="FF0066"/>
          </a:solidFill>
          <a:ln>
            <a:solidFill>
              <a:srgbClr val="27652D"/>
            </a:solidFill>
          </a:ln>
          <a:effectLst/>
        </c:spPr>
      </c:pivotFmt>
      <c:pivotFmt>
        <c:idx val="6"/>
        <c:spPr>
          <a:solidFill>
            <a:srgbClr val="C00000"/>
          </a:solidFill>
          <a:ln>
            <a:solidFill>
              <a:srgbClr val="27652D"/>
            </a:solidFill>
          </a:ln>
          <a:effectLst/>
        </c:spPr>
      </c:pivotFmt>
      <c:pivotFmt>
        <c:idx val="7"/>
        <c:spPr>
          <a:solidFill>
            <a:srgbClr val="FF0066"/>
          </a:solidFill>
          <a:ln>
            <a:solidFill>
              <a:srgbClr val="27652D"/>
            </a:solidFill>
          </a:ln>
          <a:effectLst/>
        </c:spPr>
      </c:pivotFmt>
    </c:pivotFmts>
    <c:plotArea>
      <c:layout/>
      <c:barChart>
        <c:barDir val="col"/>
        <c:grouping val="clustered"/>
        <c:varyColors val="0"/>
        <c:ser>
          <c:idx val="0"/>
          <c:order val="0"/>
          <c:tx>
            <c:strRef>
              <c:f>Pivot_Table!$N$15</c:f>
              <c:strCache>
                <c:ptCount val="1"/>
                <c:pt idx="0">
                  <c:v>Total</c:v>
                </c:pt>
              </c:strCache>
            </c:strRef>
          </c:tx>
          <c:spPr>
            <a:solidFill>
              <a:srgbClr val="FF0066"/>
            </a:solidFill>
            <a:ln>
              <a:solidFill>
                <a:srgbClr val="27652D"/>
              </a:solidFill>
            </a:ln>
            <a:effectLst/>
          </c:spPr>
          <c:invertIfNegative val="0"/>
          <c:dPt>
            <c:idx val="0"/>
            <c:invertIfNegative val="0"/>
            <c:bubble3D val="0"/>
            <c:spPr>
              <a:solidFill>
                <a:srgbClr val="FF0066"/>
              </a:solidFill>
              <a:ln>
                <a:solidFill>
                  <a:srgbClr val="2D911F"/>
                </a:solidFill>
              </a:ln>
              <a:effectLst/>
            </c:spPr>
            <c:extLst>
              <c:ext xmlns:c16="http://schemas.microsoft.com/office/drawing/2014/chart" uri="{C3380CC4-5D6E-409C-BE32-E72D297353CC}">
                <c16:uniqueId val="{00000001-AFAD-473B-A166-42D8FAA9B4E5}"/>
              </c:ext>
            </c:extLst>
          </c:dPt>
          <c:dPt>
            <c:idx val="1"/>
            <c:invertIfNegative val="0"/>
            <c:bubble3D val="0"/>
            <c:spPr>
              <a:solidFill>
                <a:srgbClr val="C00000"/>
              </a:solidFill>
              <a:ln>
                <a:noFill/>
              </a:ln>
              <a:effectLst/>
            </c:spPr>
            <c:extLst>
              <c:ext xmlns:c16="http://schemas.microsoft.com/office/drawing/2014/chart" uri="{C3380CC4-5D6E-409C-BE32-E72D297353CC}">
                <c16:uniqueId val="{00000002-AFAD-473B-A166-42D8FAA9B4E5}"/>
              </c:ext>
            </c:extLst>
          </c:dPt>
          <c:dPt>
            <c:idx val="2"/>
            <c:invertIfNegative val="0"/>
            <c:bubble3D val="0"/>
            <c:spPr>
              <a:solidFill>
                <a:srgbClr val="FF0066"/>
              </a:solidFill>
              <a:ln>
                <a:solidFill>
                  <a:srgbClr val="27652D"/>
                </a:solidFill>
              </a:ln>
              <a:effectLst/>
            </c:spPr>
            <c:extLst>
              <c:ext xmlns:c16="http://schemas.microsoft.com/office/drawing/2014/chart" uri="{C3380CC4-5D6E-409C-BE32-E72D297353CC}">
                <c16:uniqueId val="{00000003-AFAD-473B-A166-42D8FAA9B4E5}"/>
              </c:ext>
            </c:extLst>
          </c:dPt>
          <c:dPt>
            <c:idx val="3"/>
            <c:invertIfNegative val="0"/>
            <c:bubble3D val="0"/>
            <c:spPr>
              <a:solidFill>
                <a:srgbClr val="C00000"/>
              </a:solidFill>
              <a:ln>
                <a:solidFill>
                  <a:srgbClr val="27652D"/>
                </a:solidFill>
              </a:ln>
              <a:effectLst/>
            </c:spPr>
            <c:extLst>
              <c:ext xmlns:c16="http://schemas.microsoft.com/office/drawing/2014/chart" uri="{C3380CC4-5D6E-409C-BE32-E72D297353CC}">
                <c16:uniqueId val="{00000004-AFAD-473B-A166-42D8FAA9B4E5}"/>
              </c:ext>
            </c:extLst>
          </c:dPt>
          <c:dPt>
            <c:idx val="4"/>
            <c:invertIfNegative val="0"/>
            <c:bubble3D val="0"/>
            <c:spPr>
              <a:solidFill>
                <a:srgbClr val="FF0066"/>
              </a:solidFill>
              <a:ln>
                <a:solidFill>
                  <a:srgbClr val="27652D"/>
                </a:solidFill>
              </a:ln>
              <a:effectLst/>
            </c:spPr>
            <c:extLst>
              <c:ext xmlns:c16="http://schemas.microsoft.com/office/drawing/2014/chart" uri="{C3380CC4-5D6E-409C-BE32-E72D297353CC}">
                <c16:uniqueId val="{00000005-AFAD-473B-A166-42D8FAA9B4E5}"/>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Bahnschrift Condensed"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Pivot_Table!$M$16:$M$21</c:f>
              <c:strCache>
                <c:ptCount val="5"/>
                <c:pt idx="0">
                  <c:v>Formal Shirts</c:v>
                </c:pt>
                <c:pt idx="1">
                  <c:v>Knitwear</c:v>
                </c:pt>
                <c:pt idx="2">
                  <c:v>Casual Shirts</c:v>
                </c:pt>
                <c:pt idx="3">
                  <c:v>Shorts</c:v>
                </c:pt>
                <c:pt idx="4">
                  <c:v>Pants</c:v>
                </c:pt>
              </c:strCache>
            </c:strRef>
          </c:cat>
          <c:val>
            <c:numRef>
              <c:f>Pivot_Table!$N$16:$N$21</c:f>
              <c:numCache>
                <c:formatCode>General</c:formatCode>
                <c:ptCount val="5"/>
                <c:pt idx="0">
                  <c:v>9</c:v>
                </c:pt>
                <c:pt idx="1">
                  <c:v>6</c:v>
                </c:pt>
                <c:pt idx="2">
                  <c:v>5</c:v>
                </c:pt>
                <c:pt idx="3">
                  <c:v>5</c:v>
                </c:pt>
                <c:pt idx="4">
                  <c:v>5</c:v>
                </c:pt>
              </c:numCache>
            </c:numRef>
          </c:val>
          <c:extLst>
            <c:ext xmlns:c16="http://schemas.microsoft.com/office/drawing/2014/chart" uri="{C3380CC4-5D6E-409C-BE32-E72D297353CC}">
              <c16:uniqueId val="{00000000-AFAD-473B-A166-42D8FAA9B4E5}"/>
            </c:ext>
          </c:extLst>
        </c:ser>
        <c:dLbls>
          <c:dLblPos val="outEnd"/>
          <c:showLegendKey val="0"/>
          <c:showVal val="1"/>
          <c:showCatName val="0"/>
          <c:showSerName val="0"/>
          <c:showPercent val="0"/>
          <c:showBubbleSize val="0"/>
        </c:dLbls>
        <c:gapWidth val="143"/>
        <c:overlap val="-20"/>
        <c:axId val="577934448"/>
        <c:axId val="577936968"/>
      </c:barChart>
      <c:catAx>
        <c:axId val="5779344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Bahnschrift Condensed" panose="020B0502040204020203" pitchFamily="34" charset="0"/>
                <a:ea typeface="+mn-ea"/>
                <a:cs typeface="+mn-cs"/>
              </a:defRPr>
            </a:pPr>
            <a:endParaRPr lang="en-US"/>
          </a:p>
        </c:txPr>
        <c:crossAx val="577936968"/>
        <c:crosses val="autoZero"/>
        <c:auto val="1"/>
        <c:lblAlgn val="ctr"/>
        <c:lblOffset val="100"/>
        <c:noMultiLvlLbl val="0"/>
      </c:catAx>
      <c:valAx>
        <c:axId val="577936968"/>
        <c:scaling>
          <c:orientation val="minMax"/>
        </c:scaling>
        <c:delete val="1"/>
        <c:axPos val="l"/>
        <c:numFmt formatCode="General" sourceLinked="1"/>
        <c:majorTickMark val="none"/>
        <c:minorTickMark val="none"/>
        <c:tickLblPos val="nextTo"/>
        <c:crossAx val="5779344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542925</xdr:colOff>
      <xdr:row>26</xdr:row>
      <xdr:rowOff>28575</xdr:rowOff>
    </xdr:from>
    <xdr:to>
      <xdr:col>11</xdr:col>
      <xdr:colOff>133350</xdr:colOff>
      <xdr:row>39</xdr:row>
      <xdr:rowOff>76200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602496B3-DF04-0C30-2311-4DEB6A2C28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91875" y="4981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752475</xdr:colOff>
      <xdr:row>26</xdr:row>
      <xdr:rowOff>9525</xdr:rowOff>
    </xdr:from>
    <xdr:to>
      <xdr:col>9</xdr:col>
      <xdr:colOff>333375</xdr:colOff>
      <xdr:row>39</xdr:row>
      <xdr:rowOff>57150</xdr:rowOff>
    </xdr:to>
    <mc:AlternateContent xmlns:mc="http://schemas.openxmlformats.org/markup-compatibility/2006" xmlns:a14="http://schemas.microsoft.com/office/drawing/2010/main">
      <mc:Choice Requires="a14">
        <xdr:graphicFrame macro="">
          <xdr:nvGraphicFramePr>
            <xdr:cNvPr id="3" name="Day">
              <a:extLst>
                <a:ext uri="{FF2B5EF4-FFF2-40B4-BE49-F238E27FC236}">
                  <a16:creationId xmlns:a16="http://schemas.microsoft.com/office/drawing/2014/main" id="{71D06B54-E51E-39D2-C735-E78E92A67CB8}"/>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9153525" y="4962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26</xdr:row>
      <xdr:rowOff>47625</xdr:rowOff>
    </xdr:from>
    <xdr:to>
      <xdr:col>13</xdr:col>
      <xdr:colOff>666750</xdr:colOff>
      <xdr:row>39</xdr:row>
      <xdr:rowOff>95250</xdr:rowOff>
    </xdr:to>
    <mc:AlternateContent xmlns:mc="http://schemas.openxmlformats.org/markup-compatibility/2006" xmlns:a14="http://schemas.microsoft.com/office/drawing/2010/main">
      <mc:Choice Requires="a14">
        <xdr:graphicFrame macro="">
          <xdr:nvGraphicFramePr>
            <xdr:cNvPr id="4" name="Product_Category">
              <a:extLst>
                <a:ext uri="{FF2B5EF4-FFF2-40B4-BE49-F238E27FC236}">
                  <a16:creationId xmlns:a16="http://schemas.microsoft.com/office/drawing/2014/main" id="{6EA85106-B71D-697C-6F2E-C84D5FE2B669}"/>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3496925" y="5000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452438</xdr:colOff>
      <xdr:row>73</xdr:row>
      <xdr:rowOff>153803</xdr:rowOff>
    </xdr:to>
    <xdr:sp macro="" textlink="">
      <xdr:nvSpPr>
        <xdr:cNvPr id="2" name="Rectangle 1">
          <a:extLst>
            <a:ext uri="{FF2B5EF4-FFF2-40B4-BE49-F238E27FC236}">
              <a16:creationId xmlns:a16="http://schemas.microsoft.com/office/drawing/2014/main" id="{6F92CEF6-4BBE-291A-7499-FDF89EB85C4D}"/>
            </a:ext>
          </a:extLst>
        </xdr:cNvPr>
        <xdr:cNvSpPr/>
      </xdr:nvSpPr>
      <xdr:spPr>
        <a:xfrm>
          <a:off x="0" y="0"/>
          <a:ext cx="17168813" cy="1406030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oneCellAnchor>
    <xdr:from>
      <xdr:col>28</xdr:col>
      <xdr:colOff>304800</xdr:colOff>
      <xdr:row>2</xdr:row>
      <xdr:rowOff>47625</xdr:rowOff>
    </xdr:from>
    <xdr:ext cx="184731" cy="264560"/>
    <xdr:sp macro="" textlink="">
      <xdr:nvSpPr>
        <xdr:cNvPr id="4" name="TextBox 3">
          <a:extLst>
            <a:ext uri="{FF2B5EF4-FFF2-40B4-BE49-F238E27FC236}">
              <a16:creationId xmlns:a16="http://schemas.microsoft.com/office/drawing/2014/main" id="{A7DCDA26-078B-5E4E-5BDB-B107D3EDEDFE}"/>
            </a:ext>
          </a:extLst>
        </xdr:cNvPr>
        <xdr:cNvSpPr txBox="1"/>
      </xdr:nvSpPr>
      <xdr:spPr>
        <a:xfrm>
          <a:off x="17373600" y="42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kern="1200"/>
        </a:p>
      </xdr:txBody>
    </xdr:sp>
    <xdr:clientData/>
  </xdr:oneCellAnchor>
  <xdr:twoCellAnchor>
    <xdr:from>
      <xdr:col>6</xdr:col>
      <xdr:colOff>581025</xdr:colOff>
      <xdr:row>0</xdr:row>
      <xdr:rowOff>95250</xdr:rowOff>
    </xdr:from>
    <xdr:to>
      <xdr:col>16</xdr:col>
      <xdr:colOff>9525</xdr:colOff>
      <xdr:row>3</xdr:row>
      <xdr:rowOff>19050</xdr:rowOff>
    </xdr:to>
    <xdr:sp macro="" textlink="">
      <xdr:nvSpPr>
        <xdr:cNvPr id="6" name="TextBox 5">
          <a:extLst>
            <a:ext uri="{FF2B5EF4-FFF2-40B4-BE49-F238E27FC236}">
              <a16:creationId xmlns:a16="http://schemas.microsoft.com/office/drawing/2014/main" id="{94E16ED2-6B3A-4F11-972B-3623D9697CA0}"/>
            </a:ext>
          </a:extLst>
        </xdr:cNvPr>
        <xdr:cNvSpPr txBox="1"/>
      </xdr:nvSpPr>
      <xdr:spPr>
        <a:xfrm>
          <a:off x="4238625" y="95250"/>
          <a:ext cx="5524500"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kern="1200">
              <a:solidFill>
                <a:srgbClr val="C00000"/>
              </a:solidFill>
              <a:latin typeface="Bahnschrift Condensed" panose="020B0502040204020203" pitchFamily="34" charset="0"/>
              <a:ea typeface="Segoe UI Black" panose="020B0A02040204020203" pitchFamily="34" charset="0"/>
            </a:rPr>
            <a:t>Sales Products Details Analysis</a:t>
          </a:r>
        </a:p>
      </xdr:txBody>
    </xdr:sp>
    <xdr:clientData/>
  </xdr:twoCellAnchor>
  <xdr:twoCellAnchor>
    <xdr:from>
      <xdr:col>3</xdr:col>
      <xdr:colOff>523875</xdr:colOff>
      <xdr:row>5</xdr:row>
      <xdr:rowOff>95250</xdr:rowOff>
    </xdr:from>
    <xdr:to>
      <xdr:col>7</xdr:col>
      <xdr:colOff>371475</xdr:colOff>
      <xdr:row>10</xdr:row>
      <xdr:rowOff>19050</xdr:rowOff>
    </xdr:to>
    <xdr:sp macro="" textlink="Pivot_Table!A4">
      <xdr:nvSpPr>
        <xdr:cNvPr id="17" name="Rectangle 16">
          <a:extLst>
            <a:ext uri="{FF2B5EF4-FFF2-40B4-BE49-F238E27FC236}">
              <a16:creationId xmlns:a16="http://schemas.microsoft.com/office/drawing/2014/main" id="{01F37CEA-CFA6-405D-806F-9BA5EEEE5B4E}"/>
            </a:ext>
          </a:extLst>
        </xdr:cNvPr>
        <xdr:cNvSpPr/>
      </xdr:nvSpPr>
      <xdr:spPr>
        <a:xfrm>
          <a:off x="2352675" y="1047750"/>
          <a:ext cx="2286000" cy="87630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C9ACC1AF-E338-4122-B62E-206737C815DE}" type="TxLink">
            <a:rPr lang="en-US" sz="2400" b="0" i="0" u="none" strike="noStrike" kern="1200">
              <a:solidFill>
                <a:srgbClr val="000000"/>
              </a:solidFill>
              <a:latin typeface="Bahnschrift Condensed" panose="020B0502040204020203" pitchFamily="34" charset="0"/>
              <a:ea typeface="Calibri"/>
              <a:cs typeface="Calibri"/>
            </a:rPr>
            <a:pPr algn="r"/>
            <a:t>$2,390.64</a:t>
          </a:fld>
          <a:endParaRPr lang="en-US" sz="2400" kern="1200">
            <a:latin typeface="Bahnschrift Condensed" panose="020B0502040204020203" pitchFamily="34" charset="0"/>
          </a:endParaRPr>
        </a:p>
      </xdr:txBody>
    </xdr:sp>
    <xdr:clientData/>
  </xdr:twoCellAnchor>
  <xdr:twoCellAnchor>
    <xdr:from>
      <xdr:col>7</xdr:col>
      <xdr:colOff>566738</xdr:colOff>
      <xdr:row>5</xdr:row>
      <xdr:rowOff>95250</xdr:rowOff>
    </xdr:from>
    <xdr:to>
      <xdr:col>11</xdr:col>
      <xdr:colOff>414338</xdr:colOff>
      <xdr:row>10</xdr:row>
      <xdr:rowOff>19050</xdr:rowOff>
    </xdr:to>
    <xdr:sp macro="" textlink="Pivot_Table!I4">
      <xdr:nvSpPr>
        <xdr:cNvPr id="18" name="Rectangle 17">
          <a:extLst>
            <a:ext uri="{FF2B5EF4-FFF2-40B4-BE49-F238E27FC236}">
              <a16:creationId xmlns:a16="http://schemas.microsoft.com/office/drawing/2014/main" id="{6A25F6B9-176E-4327-A58F-14687E32ABAF}"/>
            </a:ext>
          </a:extLst>
        </xdr:cNvPr>
        <xdr:cNvSpPr/>
      </xdr:nvSpPr>
      <xdr:spPr>
        <a:xfrm>
          <a:off x="4833938" y="1047750"/>
          <a:ext cx="2286000" cy="87630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787CE01A-E319-43B9-B157-0FF6D389930A}" type="TxLink">
            <a:rPr lang="en-US" sz="2400" b="0" i="0" u="none" strike="noStrike" kern="1200">
              <a:solidFill>
                <a:srgbClr val="000000"/>
              </a:solidFill>
              <a:latin typeface="Bahnschrift Condensed" panose="020B0502040204020203" pitchFamily="34" charset="0"/>
              <a:ea typeface="Calibri"/>
              <a:cs typeface="Calibri"/>
            </a:rPr>
            <a:pPr algn="r"/>
            <a:t>62</a:t>
          </a:fld>
          <a:endParaRPr lang="en-US" sz="4800" kern="1200">
            <a:latin typeface="Bahnschrift Condensed" panose="020B0502040204020203" pitchFamily="34" charset="0"/>
          </a:endParaRPr>
        </a:p>
      </xdr:txBody>
    </xdr:sp>
    <xdr:clientData/>
  </xdr:twoCellAnchor>
  <xdr:twoCellAnchor editAs="oneCell">
    <xdr:from>
      <xdr:col>0</xdr:col>
      <xdr:colOff>393326</xdr:colOff>
      <xdr:row>0</xdr:row>
      <xdr:rowOff>152400</xdr:rowOff>
    </xdr:from>
    <xdr:to>
      <xdr:col>3</xdr:col>
      <xdr:colOff>393326</xdr:colOff>
      <xdr:row>14</xdr:row>
      <xdr:rowOff>103910</xdr:rowOff>
    </xdr:to>
    <mc:AlternateContent xmlns:mc="http://schemas.openxmlformats.org/markup-compatibility/2006" xmlns:a14="http://schemas.microsoft.com/office/drawing/2010/main">
      <mc:Choice Requires="a14">
        <xdr:graphicFrame macro="">
          <xdr:nvGraphicFramePr>
            <xdr:cNvPr id="22" name="Day 1">
              <a:extLst>
                <a:ext uri="{FF2B5EF4-FFF2-40B4-BE49-F238E27FC236}">
                  <a16:creationId xmlns:a16="http://schemas.microsoft.com/office/drawing/2014/main" id="{E8CA823B-09E5-4D78-82CD-5F3DAB308B2E}"/>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393326" y="152399"/>
              <a:ext cx="1857375" cy="3030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410645</xdr:colOff>
      <xdr:row>17</xdr:row>
      <xdr:rowOff>51954</xdr:rowOff>
    </xdr:from>
    <xdr:to>
      <xdr:col>3</xdr:col>
      <xdr:colOff>410645</xdr:colOff>
      <xdr:row>31</xdr:row>
      <xdr:rowOff>34636</xdr:rowOff>
    </xdr:to>
    <mc:AlternateContent xmlns:mc="http://schemas.openxmlformats.org/markup-compatibility/2006">
      <mc:Choice xmlns:a14="http://schemas.microsoft.com/office/drawing/2010/main" Requires="a14">
        <xdr:graphicFrame macro="">
          <xdr:nvGraphicFramePr>
            <xdr:cNvPr id="23" name="Region 1">
              <a:extLst>
                <a:ext uri="{FF2B5EF4-FFF2-40B4-BE49-F238E27FC236}">
                  <a16:creationId xmlns:a16="http://schemas.microsoft.com/office/drawing/2014/main" id="{AC65F150-AFBE-4255-92CC-D8A9EC123EC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10645" y="3290454"/>
              <a:ext cx="1818409" cy="26496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393326</xdr:colOff>
      <xdr:row>33</xdr:row>
      <xdr:rowOff>19253</xdr:rowOff>
    </xdr:from>
    <xdr:to>
      <xdr:col>3</xdr:col>
      <xdr:colOff>393326</xdr:colOff>
      <xdr:row>42</xdr:row>
      <xdr:rowOff>1</xdr:rowOff>
    </xdr:to>
    <mc:AlternateContent xmlns:mc="http://schemas.openxmlformats.org/markup-compatibility/2006">
      <mc:Choice xmlns:a14="http://schemas.microsoft.com/office/drawing/2010/main" Requires="a14">
        <xdr:graphicFrame macro="">
          <xdr:nvGraphicFramePr>
            <xdr:cNvPr id="24" name="Product_Category 1">
              <a:extLst>
                <a:ext uri="{FF2B5EF4-FFF2-40B4-BE49-F238E27FC236}">
                  <a16:creationId xmlns:a16="http://schemas.microsoft.com/office/drawing/2014/main" id="{88BA6CFD-A223-420C-9373-FF9A572B088F}"/>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393326" y="6305753"/>
              <a:ext cx="1818409" cy="1695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600076</xdr:colOff>
      <xdr:row>5</xdr:row>
      <xdr:rowOff>180976</xdr:rowOff>
    </xdr:from>
    <xdr:ext cx="1142999" cy="247650"/>
    <xdr:sp macro="" textlink="">
      <xdr:nvSpPr>
        <xdr:cNvPr id="28" name="TextBox 27">
          <a:extLst>
            <a:ext uri="{FF2B5EF4-FFF2-40B4-BE49-F238E27FC236}">
              <a16:creationId xmlns:a16="http://schemas.microsoft.com/office/drawing/2014/main" id="{7B0D9C4E-264F-B6F2-38AE-093D2EADA3CC}"/>
            </a:ext>
          </a:extLst>
        </xdr:cNvPr>
        <xdr:cNvSpPr txBox="1"/>
      </xdr:nvSpPr>
      <xdr:spPr>
        <a:xfrm>
          <a:off x="2428876" y="1133476"/>
          <a:ext cx="1142999" cy="247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kern="1200">
              <a:solidFill>
                <a:schemeClr val="tx1">
                  <a:lumMod val="95000"/>
                  <a:lumOff val="5000"/>
                </a:schemeClr>
              </a:solidFill>
              <a:latin typeface="Bahnschrift Condensed" panose="020B0502040204020203" pitchFamily="34" charset="0"/>
            </a:rPr>
            <a:t>Total Revenue</a:t>
          </a:r>
        </a:p>
      </xdr:txBody>
    </xdr:sp>
    <xdr:clientData/>
  </xdr:oneCellAnchor>
  <xdr:oneCellAnchor>
    <xdr:from>
      <xdr:col>8</xdr:col>
      <xdr:colOff>47625</xdr:colOff>
      <xdr:row>5</xdr:row>
      <xdr:rowOff>133349</xdr:rowOff>
    </xdr:from>
    <xdr:ext cx="1504950" cy="295275"/>
    <xdr:sp macro="" textlink="">
      <xdr:nvSpPr>
        <xdr:cNvPr id="29" name="TextBox 28">
          <a:extLst>
            <a:ext uri="{FF2B5EF4-FFF2-40B4-BE49-F238E27FC236}">
              <a16:creationId xmlns:a16="http://schemas.microsoft.com/office/drawing/2014/main" id="{266DF9D8-A491-4B1E-9D5A-5BABFE6A4F47}"/>
            </a:ext>
          </a:extLst>
        </xdr:cNvPr>
        <xdr:cNvSpPr txBox="1"/>
      </xdr:nvSpPr>
      <xdr:spPr>
        <a:xfrm>
          <a:off x="4924425" y="1085849"/>
          <a:ext cx="1504950" cy="295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kern="1200">
              <a:solidFill>
                <a:schemeClr val="tx1">
                  <a:lumMod val="95000"/>
                  <a:lumOff val="5000"/>
                </a:schemeClr>
              </a:solidFill>
              <a:latin typeface="Bahnschrift Condensed" panose="020B0502040204020203" pitchFamily="34" charset="0"/>
            </a:rPr>
            <a:t>Total</a:t>
          </a:r>
          <a:r>
            <a:rPr lang="en-US" sz="1400" kern="1200" baseline="0">
              <a:solidFill>
                <a:schemeClr val="tx1">
                  <a:lumMod val="95000"/>
                  <a:lumOff val="5000"/>
                </a:schemeClr>
              </a:solidFill>
              <a:latin typeface="Bahnschrift Condensed" panose="020B0502040204020203" pitchFamily="34" charset="0"/>
            </a:rPr>
            <a:t> Quantity Sold</a:t>
          </a:r>
        </a:p>
        <a:p>
          <a:endParaRPr lang="en-US" sz="1200" kern="1200">
            <a:solidFill>
              <a:schemeClr val="tx1">
                <a:lumMod val="95000"/>
                <a:lumOff val="5000"/>
              </a:schemeClr>
            </a:solidFill>
            <a:latin typeface="Bahnschrift SemiBold" panose="020B0502040204020203" pitchFamily="34" charset="0"/>
          </a:endParaRPr>
        </a:p>
      </xdr:txBody>
    </xdr:sp>
    <xdr:clientData/>
  </xdr:oneCellAnchor>
  <xdr:twoCellAnchor>
    <xdr:from>
      <xdr:col>14</xdr:col>
      <xdr:colOff>467591</xdr:colOff>
      <xdr:row>4</xdr:row>
      <xdr:rowOff>114298</xdr:rowOff>
    </xdr:from>
    <xdr:to>
      <xdr:col>27</xdr:col>
      <xdr:colOff>86591</xdr:colOff>
      <xdr:row>26</xdr:row>
      <xdr:rowOff>57149</xdr:rowOff>
    </xdr:to>
    <xdr:graphicFrame macro="">
      <xdr:nvGraphicFramePr>
        <xdr:cNvPr id="30" name="Chart 29">
          <a:extLst>
            <a:ext uri="{FF2B5EF4-FFF2-40B4-BE49-F238E27FC236}">
              <a16:creationId xmlns:a16="http://schemas.microsoft.com/office/drawing/2014/main" id="{5C3204CB-54EA-4808-805A-1FD6EA212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590549</xdr:colOff>
      <xdr:row>10</xdr:row>
      <xdr:rowOff>155864</xdr:rowOff>
    </xdr:from>
    <xdr:to>
      <xdr:col>14</xdr:col>
      <xdr:colOff>311727</xdr:colOff>
      <xdr:row>26</xdr:row>
      <xdr:rowOff>95249</xdr:rowOff>
    </xdr:to>
    <xdr:graphicFrame macro="">
      <xdr:nvGraphicFramePr>
        <xdr:cNvPr id="3" name="Chart 2">
          <a:extLst>
            <a:ext uri="{FF2B5EF4-FFF2-40B4-BE49-F238E27FC236}">
              <a16:creationId xmlns:a16="http://schemas.microsoft.com/office/drawing/2014/main" id="{067F62D8-2DF3-42FE-B4D0-E6DDFADBA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581024</xdr:colOff>
      <xdr:row>27</xdr:row>
      <xdr:rowOff>19050</xdr:rowOff>
    </xdr:from>
    <xdr:to>
      <xdr:col>14</xdr:col>
      <xdr:colOff>329045</xdr:colOff>
      <xdr:row>47</xdr:row>
      <xdr:rowOff>138545</xdr:rowOff>
    </xdr:to>
    <xdr:graphicFrame macro="">
      <xdr:nvGraphicFramePr>
        <xdr:cNvPr id="7" name="Chart 6">
          <a:extLst>
            <a:ext uri="{FF2B5EF4-FFF2-40B4-BE49-F238E27FC236}">
              <a16:creationId xmlns:a16="http://schemas.microsoft.com/office/drawing/2014/main" id="{A50C0B7E-2B98-4D9F-BBF6-06C4DCB50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484909</xdr:colOff>
      <xdr:row>27</xdr:row>
      <xdr:rowOff>9524</xdr:rowOff>
    </xdr:from>
    <xdr:to>
      <xdr:col>27</xdr:col>
      <xdr:colOff>86591</xdr:colOff>
      <xdr:row>47</xdr:row>
      <xdr:rowOff>173181</xdr:rowOff>
    </xdr:to>
    <xdr:graphicFrame macro="">
      <xdr:nvGraphicFramePr>
        <xdr:cNvPr id="8" name="Chart 7">
          <a:extLst>
            <a:ext uri="{FF2B5EF4-FFF2-40B4-BE49-F238E27FC236}">
              <a16:creationId xmlns:a16="http://schemas.microsoft.com/office/drawing/2014/main" id="{AC61BEB9-E4D2-47C3-B7CF-B8E0881E9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207818</xdr:colOff>
      <xdr:row>48</xdr:row>
      <xdr:rowOff>86591</xdr:rowOff>
    </xdr:from>
    <xdr:to>
      <xdr:col>14</xdr:col>
      <xdr:colOff>381000</xdr:colOff>
      <xdr:row>72</xdr:row>
      <xdr:rowOff>173181</xdr:rowOff>
    </xdr:to>
    <xdr:graphicFrame macro="">
      <xdr:nvGraphicFramePr>
        <xdr:cNvPr id="9" name="Chart 8">
          <a:extLst>
            <a:ext uri="{FF2B5EF4-FFF2-40B4-BE49-F238E27FC236}">
              <a16:creationId xmlns:a16="http://schemas.microsoft.com/office/drawing/2014/main" id="{2505531A-20F9-4179-8256-D5FC8674B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519546</xdr:colOff>
      <xdr:row>48</xdr:row>
      <xdr:rowOff>138545</xdr:rowOff>
    </xdr:from>
    <xdr:to>
      <xdr:col>27</xdr:col>
      <xdr:colOff>121226</xdr:colOff>
      <xdr:row>72</xdr:row>
      <xdr:rowOff>190499</xdr:rowOff>
    </xdr:to>
    <xdr:graphicFrame macro="">
      <xdr:nvGraphicFramePr>
        <xdr:cNvPr id="10" name="Chart 9">
          <a:extLst>
            <a:ext uri="{FF2B5EF4-FFF2-40B4-BE49-F238E27FC236}">
              <a16:creationId xmlns:a16="http://schemas.microsoft.com/office/drawing/2014/main" id="{432013B2-9794-4B9B-BCAA-78F7873A3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iola" refreshedDate="45656.656344444447" createdVersion="8" refreshedVersion="8" minRefreshableVersion="3" recordCount="30" xr:uid="{E600646B-7D08-4082-9425-CA886D6A2EC5}">
  <cacheSource type="worksheet">
    <worksheetSource name="Table1"/>
  </cacheSource>
  <cacheFields count="17">
    <cacheField name="Date" numFmtId="14">
      <sharedItems containsSemiMixedTypes="0" containsNonDate="0" containsDate="1" containsString="0" minDate="2021-06-01T00:00:00" maxDate="2021-07-01T00:00:00"/>
    </cacheField>
    <cacheField name="Day" numFmtId="0">
      <sharedItems count="7">
        <s v="Tuesday"/>
        <s v="Wednesday"/>
        <s v="Thursday"/>
        <s v="Friday"/>
        <s v="Saturday"/>
        <s v="Sunday"/>
        <s v="Monday"/>
      </sharedItems>
    </cacheField>
    <cacheField name="Month" numFmtId="0">
      <sharedItems/>
    </cacheField>
    <cacheField name="Year" numFmtId="0">
      <sharedItems/>
    </cacheField>
    <cacheField name="Week" numFmtId="0">
      <sharedItems containsSemiMixedTypes="0" containsString="0" containsNumber="1" containsInteger="1" minValue="23" maxValue="27" count="5">
        <n v="23"/>
        <n v="24"/>
        <n v="25"/>
        <n v="26"/>
        <n v="27"/>
      </sharedItems>
    </cacheField>
    <cacheField name="Customer_ID" numFmtId="0">
      <sharedItems containsSemiMixedTypes="0" containsString="0" containsNumber="1" containsInteger="1" minValue="9" maxValue="99"/>
    </cacheField>
    <cacheField name="Product_ID" numFmtId="0">
      <sharedItems containsSemiMixedTypes="0" containsString="0" containsNumber="1" containsInteger="1" minValue="251" maxValue="357"/>
    </cacheField>
    <cacheField name="Quantity" numFmtId="0">
      <sharedItems containsSemiMixedTypes="0" containsString="0" containsNumber="1" containsInteger="1" minValue="1" maxValue="4"/>
    </cacheField>
    <cacheField name="Unit_Price" numFmtId="164">
      <sharedItems containsSemiMixedTypes="0" containsString="0" containsNumber="1" minValue="21.965811769999998" maxValue="117.3060162"/>
    </cacheField>
    <cacheField name="Sales_Revenue" numFmtId="164">
      <sharedItems containsSemiMixedTypes="0" containsString="0" containsNumber="1" minValue="21.965811769999998" maxValue="175.48614799999999"/>
    </cacheField>
    <cacheField name="Product_Description" numFmtId="0">
      <sharedItems count="18">
        <s v="Cycling Jerseys"/>
        <s v="Casual Shirts"/>
        <s v="Jeans"/>
        <s v="Shorts"/>
        <s v="Belts"/>
        <s v="Ties"/>
        <s v="Polo Shirts"/>
        <s v="Tshirts"/>
        <s v="Formal Shirts"/>
        <s v="Knitwear"/>
        <s v="Suits"/>
        <s v="Sweats"/>
        <s v="Pants"/>
        <s v="GolfShoes"/>
        <s v="Dress"/>
        <s v="Coats"/>
        <s v="Underwear"/>
        <s v="Pyjamas"/>
      </sharedItems>
    </cacheField>
    <cacheField name="Product_Category" numFmtId="0">
      <sharedItems count="4">
        <s v="Sports"/>
        <s v="Menswear"/>
        <s v="Womenswear"/>
        <s v="Accessories"/>
      </sharedItems>
    </cacheField>
    <cacheField name="Product_Line" numFmtId="0">
      <sharedItems count="4">
        <s v="Tops"/>
        <s v="Trousers"/>
        <s v="Leathers"/>
        <s v="Shoes"/>
      </sharedItems>
    </cacheField>
    <cacheField name="Raw_Material" numFmtId="0">
      <sharedItems count="6">
        <s v="Fabrics"/>
        <s v="Cotton"/>
        <s v="Leather"/>
        <s v="Wool"/>
        <s v="Cashmere"/>
        <s v="Polyester"/>
      </sharedItems>
    </cacheField>
    <cacheField name="Region" numFmtId="0">
      <sharedItems count="6">
        <s v="York"/>
        <s v="Worcester"/>
        <s v="Winchester"/>
        <s v="Wells"/>
        <s v="Wakefield"/>
        <s v="Truro"/>
      </sharedItems>
    </cacheField>
    <cacheField name="Latitude" numFmtId="0">
      <sharedItems containsSemiMixedTypes="0" containsString="0" containsNumber="1" minValue="50.259998000000003" maxValue="53.958331999999999"/>
    </cacheField>
    <cacheField name="Longitude" numFmtId="0">
      <sharedItems containsSemiMixedTypes="0" containsString="0" containsNumber="1" minValue="-5.0510000000000002" maxValue="-1.0802780000000001"/>
    </cacheField>
  </cacheFields>
  <extLst>
    <ext xmlns:x14="http://schemas.microsoft.com/office/spreadsheetml/2009/9/main" uri="{725AE2AE-9491-48be-B2B4-4EB974FC3084}">
      <x14:pivotCacheDefinition pivotCacheId="1137723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1-06-01T00:00:00"/>
    <x v="0"/>
    <s v="June"/>
    <s v="2021"/>
    <x v="0"/>
    <n v="98"/>
    <n v="321"/>
    <n v="1"/>
    <n v="117.3060162"/>
    <n v="117.3060162"/>
    <x v="0"/>
    <x v="0"/>
    <x v="0"/>
    <x v="0"/>
    <x v="0"/>
    <n v="53.958331999999999"/>
    <n v="-1.0802780000000001"/>
  </r>
  <r>
    <d v="2021-06-02T00:00:00"/>
    <x v="1"/>
    <s v="June"/>
    <s v="2021"/>
    <x v="0"/>
    <n v="92"/>
    <n v="261"/>
    <n v="4"/>
    <n v="32.272403320000002"/>
    <n v="129.0896133"/>
    <x v="1"/>
    <x v="1"/>
    <x v="0"/>
    <x v="1"/>
    <x v="1"/>
    <n v="52.192000999999998"/>
    <n v="-2.2200000000000002"/>
  </r>
  <r>
    <d v="2021-06-03T00:00:00"/>
    <x v="2"/>
    <s v="June"/>
    <s v="2021"/>
    <x v="0"/>
    <n v="92"/>
    <n v="264"/>
    <n v="1"/>
    <n v="36.193364039999999"/>
    <n v="36.193364039999999"/>
    <x v="1"/>
    <x v="1"/>
    <x v="0"/>
    <x v="1"/>
    <x v="1"/>
    <n v="52.192000999999998"/>
    <n v="-2.2200000000000002"/>
  </r>
  <r>
    <d v="2021-06-04T00:00:00"/>
    <x v="3"/>
    <s v="June"/>
    <s v="2021"/>
    <x v="0"/>
    <n v="99"/>
    <n v="251"/>
    <n v="3"/>
    <n v="29.913403460000001"/>
    <n v="89.74021037"/>
    <x v="2"/>
    <x v="1"/>
    <x v="1"/>
    <x v="1"/>
    <x v="2"/>
    <n v="51.063201999999997"/>
    <n v="-1.3080000000000001"/>
  </r>
  <r>
    <d v="2021-06-05T00:00:00"/>
    <x v="4"/>
    <s v="June"/>
    <s v="2021"/>
    <x v="0"/>
    <n v="66"/>
    <n v="251"/>
    <n v="1"/>
    <n v="41.843430480000002"/>
    <n v="41.843430480000002"/>
    <x v="3"/>
    <x v="2"/>
    <x v="1"/>
    <x v="1"/>
    <x v="2"/>
    <n v="51.063201999999997"/>
    <n v="-1.3080000000000001"/>
  </r>
  <r>
    <d v="2021-06-06T00:00:00"/>
    <x v="5"/>
    <s v="June"/>
    <s v="2021"/>
    <x v="1"/>
    <n v="97"/>
    <n v="304"/>
    <n v="3"/>
    <n v="49.887524149999997"/>
    <n v="149.66257250000001"/>
    <x v="4"/>
    <x v="3"/>
    <x v="2"/>
    <x v="2"/>
    <x v="3"/>
    <n v="51.209000000000003"/>
    <n v="-2.6469999999999998"/>
  </r>
  <r>
    <d v="2021-06-07T00:00:00"/>
    <x v="6"/>
    <s v="June"/>
    <s v="2021"/>
    <x v="1"/>
    <n v="45"/>
    <n v="357"/>
    <n v="2"/>
    <n v="35.41601593"/>
    <n v="70.832031850000007"/>
    <x v="5"/>
    <x v="3"/>
    <x v="0"/>
    <x v="2"/>
    <x v="4"/>
    <n v="53.68"/>
    <n v="-1.49"/>
  </r>
  <r>
    <d v="2021-06-08T00:00:00"/>
    <x v="0"/>
    <s v="June"/>
    <s v="2021"/>
    <x v="1"/>
    <n v="81"/>
    <n v="258"/>
    <n v="1"/>
    <n v="29.08420533"/>
    <n v="29.08420533"/>
    <x v="6"/>
    <x v="1"/>
    <x v="0"/>
    <x v="1"/>
    <x v="4"/>
    <n v="53.68"/>
    <n v="-1.49"/>
  </r>
  <r>
    <d v="2021-06-09T00:00:00"/>
    <x v="1"/>
    <s v="June"/>
    <s v="2021"/>
    <x v="1"/>
    <n v="47"/>
    <n v="260"/>
    <n v="3"/>
    <n v="44.498077340000002"/>
    <n v="133.49423200000001"/>
    <x v="7"/>
    <x v="2"/>
    <x v="0"/>
    <x v="1"/>
    <x v="4"/>
    <n v="53.68"/>
    <n v="-1.49"/>
  </r>
  <r>
    <d v="2021-06-10T00:00:00"/>
    <x v="2"/>
    <s v="June"/>
    <s v="2021"/>
    <x v="1"/>
    <n v="24"/>
    <n v="263"/>
    <n v="3"/>
    <n v="38.497396850000001"/>
    <n v="115.49219050000001"/>
    <x v="8"/>
    <x v="2"/>
    <x v="0"/>
    <x v="3"/>
    <x v="2"/>
    <n v="51.063201999999997"/>
    <n v="-1.3080000000000001"/>
  </r>
  <r>
    <d v="2021-06-11T00:00:00"/>
    <x v="3"/>
    <s v="June"/>
    <s v="2021"/>
    <x v="1"/>
    <n v="10"/>
    <n v="265"/>
    <n v="4"/>
    <n v="27.048956010000001"/>
    <n v="108.195824"/>
    <x v="8"/>
    <x v="1"/>
    <x v="0"/>
    <x v="3"/>
    <x v="4"/>
    <n v="53.68"/>
    <n v="-1.49"/>
  </r>
  <r>
    <d v="2021-06-12T00:00:00"/>
    <x v="4"/>
    <s v="June"/>
    <s v="2021"/>
    <x v="1"/>
    <n v="45"/>
    <n v="260"/>
    <n v="3"/>
    <n v="28.540899240000002"/>
    <n v="85.622697709999997"/>
    <x v="6"/>
    <x v="1"/>
    <x v="0"/>
    <x v="1"/>
    <x v="4"/>
    <n v="53.68"/>
    <n v="-1.49"/>
  </r>
  <r>
    <d v="2021-06-13T00:00:00"/>
    <x v="5"/>
    <s v="June"/>
    <s v="2021"/>
    <x v="2"/>
    <n v="55"/>
    <n v="260"/>
    <n v="1"/>
    <n v="34.742913209999998"/>
    <n v="34.742913209999998"/>
    <x v="8"/>
    <x v="1"/>
    <x v="0"/>
    <x v="1"/>
    <x v="0"/>
    <n v="53.958331999999999"/>
    <n v="-1.0802780000000001"/>
  </r>
  <r>
    <d v="2021-06-14T00:00:00"/>
    <x v="6"/>
    <s v="June"/>
    <s v="2021"/>
    <x v="2"/>
    <n v="44"/>
    <n v="286"/>
    <n v="3"/>
    <n v="27.028571150000001"/>
    <n v="81.085713440000006"/>
    <x v="9"/>
    <x v="2"/>
    <x v="0"/>
    <x v="4"/>
    <x v="3"/>
    <n v="51.209000000000003"/>
    <n v="-2.6469999999999998"/>
  </r>
  <r>
    <d v="2021-06-15T00:00:00"/>
    <x v="0"/>
    <s v="June"/>
    <s v="2021"/>
    <x v="2"/>
    <n v="97"/>
    <n v="291"/>
    <n v="1"/>
    <n v="34.79245255"/>
    <n v="34.79245255"/>
    <x v="9"/>
    <x v="1"/>
    <x v="0"/>
    <x v="4"/>
    <x v="3"/>
    <n v="51.209000000000003"/>
    <n v="-2.6469999999999998"/>
  </r>
  <r>
    <d v="2021-06-16T00:00:00"/>
    <x v="1"/>
    <s v="June"/>
    <s v="2021"/>
    <x v="2"/>
    <n v="31"/>
    <n v="265"/>
    <n v="4"/>
    <n v="43.871536999999996"/>
    <n v="175.48614799999999"/>
    <x v="10"/>
    <x v="1"/>
    <x v="0"/>
    <x v="3"/>
    <x v="4"/>
    <n v="53.68"/>
    <n v="-1.49"/>
  </r>
  <r>
    <d v="2021-06-17T00:00:00"/>
    <x v="2"/>
    <s v="June"/>
    <s v="2021"/>
    <x v="2"/>
    <n v="47"/>
    <n v="274"/>
    <n v="1"/>
    <n v="51.96824385"/>
    <n v="51.96824385"/>
    <x v="11"/>
    <x v="2"/>
    <x v="0"/>
    <x v="5"/>
    <x v="4"/>
    <n v="53.68"/>
    <n v="-1.49"/>
  </r>
  <r>
    <d v="2021-06-18T00:00:00"/>
    <x v="3"/>
    <s v="June"/>
    <s v="2021"/>
    <x v="2"/>
    <n v="47"/>
    <n v="276"/>
    <n v="4"/>
    <n v="33.931774840000003"/>
    <n v="135.72709939999999"/>
    <x v="3"/>
    <x v="2"/>
    <x v="0"/>
    <x v="1"/>
    <x v="4"/>
    <n v="53.68"/>
    <n v="-1.49"/>
  </r>
  <r>
    <d v="2021-06-19T00:00:00"/>
    <x v="4"/>
    <s v="June"/>
    <s v="2021"/>
    <x v="2"/>
    <n v="98"/>
    <n v="280"/>
    <n v="3"/>
    <n v="41.412504339999998"/>
    <n v="124.23751300000001"/>
    <x v="12"/>
    <x v="2"/>
    <x v="1"/>
    <x v="1"/>
    <x v="0"/>
    <n v="53.958331999999999"/>
    <n v="-1.0802780000000001"/>
  </r>
  <r>
    <d v="2021-06-20T00:00:00"/>
    <x v="5"/>
    <s v="June"/>
    <s v="2021"/>
    <x v="3"/>
    <n v="34"/>
    <n v="273"/>
    <n v="1"/>
    <n v="38.516218010000003"/>
    <n v="38.516218010000003"/>
    <x v="12"/>
    <x v="2"/>
    <x v="1"/>
    <x v="1"/>
    <x v="4"/>
    <n v="53.68"/>
    <n v="-1.49"/>
  </r>
  <r>
    <d v="2021-06-21T00:00:00"/>
    <x v="6"/>
    <s v="June"/>
    <s v="2021"/>
    <x v="3"/>
    <n v="90"/>
    <n v="336"/>
    <n v="1"/>
    <n v="21.965811769999998"/>
    <n v="21.965811769999998"/>
    <x v="13"/>
    <x v="0"/>
    <x v="3"/>
    <x v="2"/>
    <x v="5"/>
    <n v="50.259998000000003"/>
    <n v="-5.0510000000000002"/>
  </r>
  <r>
    <d v="2021-06-22T00:00:00"/>
    <x v="0"/>
    <s v="June"/>
    <s v="2021"/>
    <x v="3"/>
    <n v="12"/>
    <n v="293"/>
    <n v="2"/>
    <n v="38.718839539999998"/>
    <n v="77.437679079999995"/>
    <x v="14"/>
    <x v="2"/>
    <x v="0"/>
    <x v="5"/>
    <x v="5"/>
    <n v="50.259998000000003"/>
    <n v="-5.0510000000000002"/>
  </r>
  <r>
    <d v="2021-06-23T00:00:00"/>
    <x v="1"/>
    <s v="June"/>
    <s v="2021"/>
    <x v="3"/>
    <n v="9"/>
    <n v="285"/>
    <n v="3"/>
    <n v="36.190458370000002"/>
    <n v="108.5713751"/>
    <x v="15"/>
    <x v="2"/>
    <x v="0"/>
    <x v="1"/>
    <x v="5"/>
    <n v="50.259998000000003"/>
    <n v="-5.0510000000000002"/>
  </r>
  <r>
    <d v="2021-06-24T00:00:00"/>
    <x v="2"/>
    <s v="June"/>
    <s v="2021"/>
    <x v="3"/>
    <n v="66"/>
    <n v="276"/>
    <n v="1"/>
    <n v="54.994304960000001"/>
    <n v="54.994304960000001"/>
    <x v="16"/>
    <x v="2"/>
    <x v="0"/>
    <x v="1"/>
    <x v="2"/>
    <n v="51.063201999999997"/>
    <n v="-1.3080000000000001"/>
  </r>
  <r>
    <d v="2021-06-25T00:00:00"/>
    <x v="3"/>
    <s v="June"/>
    <s v="2021"/>
    <x v="3"/>
    <n v="89"/>
    <n v="277"/>
    <n v="2"/>
    <n v="50.795957340000001"/>
    <n v="101.5919147"/>
    <x v="17"/>
    <x v="2"/>
    <x v="0"/>
    <x v="1"/>
    <x v="5"/>
    <n v="50.259998000000003"/>
    <n v="-5.0510000000000002"/>
  </r>
  <r>
    <d v="2021-06-26T00:00:00"/>
    <x v="4"/>
    <s v="June"/>
    <s v="2021"/>
    <x v="3"/>
    <n v="32"/>
    <n v="278"/>
    <n v="2"/>
    <n v="47.433316439999999"/>
    <n v="94.866632879999997"/>
    <x v="17"/>
    <x v="1"/>
    <x v="0"/>
    <x v="1"/>
    <x v="5"/>
    <n v="50.259998000000003"/>
    <n v="-5.0510000000000002"/>
  </r>
  <r>
    <d v="2021-06-27T00:00:00"/>
    <x v="5"/>
    <s v="June"/>
    <s v="2021"/>
    <x v="4"/>
    <n v="15"/>
    <n v="288"/>
    <n v="1"/>
    <n v="50.002619029999998"/>
    <n v="50.002619029999998"/>
    <x v="12"/>
    <x v="1"/>
    <x v="1"/>
    <x v="2"/>
    <x v="1"/>
    <n v="52.192000999999998"/>
    <n v="-2.2200000000000002"/>
  </r>
  <r>
    <d v="2021-06-28T00:00:00"/>
    <x v="6"/>
    <s v="June"/>
    <s v="2021"/>
    <x v="4"/>
    <n v="56"/>
    <n v="262"/>
    <n v="1"/>
    <n v="33.470935859999997"/>
    <n v="33.470935859999997"/>
    <x v="8"/>
    <x v="1"/>
    <x v="0"/>
    <x v="3"/>
    <x v="0"/>
    <n v="53.958331999999999"/>
    <n v="-1.0802780000000001"/>
  </r>
  <r>
    <d v="2021-06-29T00:00:00"/>
    <x v="0"/>
    <s v="June"/>
    <s v="2021"/>
    <x v="4"/>
    <n v="13"/>
    <n v="286"/>
    <n v="1"/>
    <n v="32.745506630000001"/>
    <n v="32.745506630000001"/>
    <x v="9"/>
    <x v="2"/>
    <x v="0"/>
    <x v="4"/>
    <x v="3"/>
    <n v="51.209000000000003"/>
    <n v="-2.6469999999999998"/>
  </r>
  <r>
    <d v="2021-06-30T00:00:00"/>
    <x v="1"/>
    <s v="June"/>
    <s v="2021"/>
    <x v="4"/>
    <n v="91"/>
    <n v="291"/>
    <n v="1"/>
    <n v="31.879106759999999"/>
    <n v="31.879106759999999"/>
    <x v="9"/>
    <x v="1"/>
    <x v="0"/>
    <x v="4"/>
    <x v="3"/>
    <n v="51.209000000000003"/>
    <n v="-2.646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718A68-961D-433B-888F-0C8462C4032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Category">
  <location ref="A17:B22" firstHeaderRow="1" firstDataRow="1" firstDataCol="1"/>
  <pivotFields count="17">
    <pivotField numFmtId="14" showAll="0"/>
    <pivotField showAll="0">
      <items count="8">
        <item x="5"/>
        <item x="6"/>
        <item x="0"/>
        <item x="1"/>
        <item x="2"/>
        <item x="3"/>
        <item x="4"/>
        <item t="default"/>
      </items>
    </pivotField>
    <pivotField showAll="0"/>
    <pivotField showAll="0"/>
    <pivotField showAll="0"/>
    <pivotField showAll="0"/>
    <pivotField showAll="0"/>
    <pivotField dataField="1" showAll="0"/>
    <pivotField numFmtId="164" showAll="0"/>
    <pivotField numFmtId="164" showAll="0"/>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4"/>
        <item x="3"/>
        <item x="2"/>
        <item x="1"/>
        <item x="0"/>
        <item t="default"/>
      </items>
    </pivotField>
    <pivotField showAll="0"/>
    <pivotField showAll="0"/>
  </pivotFields>
  <rowFields count="1">
    <field x="11"/>
  </rowFields>
  <rowItems count="5">
    <i>
      <x v="3"/>
    </i>
    <i>
      <x v="1"/>
    </i>
    <i>
      <x/>
    </i>
    <i>
      <x v="2"/>
    </i>
    <i t="grand">
      <x/>
    </i>
  </rowItems>
  <colItems count="1">
    <i/>
  </colItems>
  <dataFields count="1">
    <dataField name="Total_Quantity_Sold" fld="7"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1C377D-7ADD-41CD-A158-988EEB97FDC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ay">
  <location ref="G15:H23" firstHeaderRow="1" firstDataRow="1" firstDataCol="1"/>
  <pivotFields count="17">
    <pivotField numFmtId="14" showAll="0"/>
    <pivotField axis="axisRow" showAll="0" sortType="descending">
      <items count="8">
        <item x="5"/>
        <item x="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dataField="1" numFmtId="164" showAll="0"/>
    <pivotField showAll="0"/>
    <pivotField showAll="0">
      <items count="5">
        <item x="3"/>
        <item x="1"/>
        <item x="0"/>
        <item x="2"/>
        <item t="default"/>
      </items>
    </pivotField>
    <pivotField showAll="0"/>
    <pivotField showAll="0"/>
    <pivotField showAll="0">
      <items count="7">
        <item x="5"/>
        <item x="4"/>
        <item x="3"/>
        <item x="2"/>
        <item x="1"/>
        <item x="0"/>
        <item t="default"/>
      </items>
    </pivotField>
    <pivotField showAll="0"/>
    <pivotField showAll="0"/>
  </pivotFields>
  <rowFields count="1">
    <field x="1"/>
  </rowFields>
  <rowItems count="8">
    <i>
      <x v="3"/>
    </i>
    <i>
      <x v="5"/>
    </i>
    <i>
      <x v="6"/>
    </i>
    <i>
      <x v="2"/>
    </i>
    <i>
      <x/>
    </i>
    <i>
      <x v="4"/>
    </i>
    <i>
      <x v="1"/>
    </i>
    <i t="grand">
      <x/>
    </i>
  </rowItems>
  <colItems count="1">
    <i/>
  </colItems>
  <dataFields count="1">
    <dataField name="Total_Revenue" fld="9" baseField="1"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3E553D-C498-4BBA-9F9C-5E06761297F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_Category">
  <location ref="J7:K12" firstHeaderRow="1" firstDataRow="1" firstDataCol="1"/>
  <pivotFields count="17">
    <pivotField numFmtId="14" showAll="0"/>
    <pivotField showAll="0">
      <items count="8">
        <item x="5"/>
        <item x="6"/>
        <item x="0"/>
        <item x="1"/>
        <item x="2"/>
        <item x="3"/>
        <item x="4"/>
        <item t="default"/>
      </items>
    </pivotField>
    <pivotField showAll="0"/>
    <pivotField showAll="0"/>
    <pivotField showAll="0"/>
    <pivotField showAll="0"/>
    <pivotField showAll="0"/>
    <pivotField showAll="0"/>
    <pivotField numFmtId="164" showAll="0"/>
    <pivotField dataField="1" numFmtId="164" showAll="0"/>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4"/>
        <item x="3"/>
        <item x="2"/>
        <item x="1"/>
        <item x="0"/>
        <item t="default"/>
      </items>
    </pivotField>
    <pivotField showAll="0"/>
    <pivotField showAll="0"/>
  </pivotFields>
  <rowFields count="1">
    <field x="11"/>
  </rowFields>
  <rowItems count="5">
    <i>
      <x v="3"/>
    </i>
    <i>
      <x v="1"/>
    </i>
    <i>
      <x/>
    </i>
    <i>
      <x v="2"/>
    </i>
    <i t="grand">
      <x/>
    </i>
  </rowItems>
  <colItems count="1">
    <i/>
  </colItems>
  <dataFields count="1">
    <dataField name="Total_Revenue" fld="9" baseField="11" baseItem="0" numFmtId="164"/>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1" count="1" selected="0">
            <x v="3"/>
          </reference>
        </references>
      </pivotArea>
    </chartFormat>
    <chartFormat chart="7" format="8">
      <pivotArea type="data" outline="0" fieldPosition="0">
        <references count="2">
          <reference field="4294967294" count="1" selected="0">
            <x v="0"/>
          </reference>
          <reference field="11" count="1" selected="0">
            <x v="1"/>
          </reference>
        </references>
      </pivotArea>
    </chartFormat>
    <chartFormat chart="7" format="9">
      <pivotArea type="data" outline="0" fieldPosition="0">
        <references count="2">
          <reference field="4294967294" count="1" selected="0">
            <x v="0"/>
          </reference>
          <reference field="11" count="1" selected="0">
            <x v="0"/>
          </reference>
        </references>
      </pivotArea>
    </chartFormat>
    <chartFormat chart="7" format="10">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D1D831-5D72-4C01-A50A-4F65BBB6D5F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op_5_Products">
  <location ref="M15:N21" firstHeaderRow="1" firstDataRow="1" firstDataCol="1"/>
  <pivotFields count="17">
    <pivotField numFmtId="14" showAll="0"/>
    <pivotField showAll="0">
      <items count="8">
        <item x="5"/>
        <item x="6"/>
        <item x="0"/>
        <item x="1"/>
        <item x="2"/>
        <item x="3"/>
        <item x="4"/>
        <item t="default"/>
      </items>
    </pivotField>
    <pivotField showAll="0"/>
    <pivotField showAll="0"/>
    <pivotField showAll="0"/>
    <pivotField showAll="0"/>
    <pivotField showAll="0"/>
    <pivotField dataField="1" showAll="0"/>
    <pivotField numFmtId="164" showAll="0"/>
    <pivotField numFmtId="164" showAll="0"/>
    <pivotField axis="axisRow" showAll="0" measureFilter="1" sortType="descending">
      <items count="19">
        <item x="4"/>
        <item x="1"/>
        <item x="15"/>
        <item x="0"/>
        <item x="14"/>
        <item x="8"/>
        <item x="13"/>
        <item x="2"/>
        <item x="9"/>
        <item x="12"/>
        <item x="6"/>
        <item x="17"/>
        <item x="3"/>
        <item x="10"/>
        <item x="11"/>
        <item x="5"/>
        <item x="7"/>
        <item x="16"/>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showAll="0"/>
    <pivotField showAll="0"/>
    <pivotField showAll="0">
      <items count="7">
        <item x="5"/>
        <item x="4"/>
        <item x="3"/>
        <item x="2"/>
        <item x="1"/>
        <item x="0"/>
        <item t="default"/>
      </items>
    </pivotField>
    <pivotField showAll="0"/>
    <pivotField showAll="0"/>
  </pivotFields>
  <rowFields count="1">
    <field x="10"/>
  </rowFields>
  <rowItems count="6">
    <i>
      <x v="5"/>
    </i>
    <i>
      <x v="8"/>
    </i>
    <i>
      <x v="1"/>
    </i>
    <i>
      <x v="12"/>
    </i>
    <i>
      <x v="9"/>
    </i>
    <i t="grand">
      <x/>
    </i>
  </rowItems>
  <colItems count="1">
    <i/>
  </colItems>
  <dataFields count="1">
    <dataField name="Total_Quantity_Sold" fld="7" baseField="10" baseItem="0"/>
  </dataFields>
  <chartFormats count="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5"/>
          </reference>
        </references>
      </pivotArea>
    </chartFormat>
    <chartFormat chart="3" format="4">
      <pivotArea type="data" outline="0" fieldPosition="0">
        <references count="2">
          <reference field="4294967294" count="1" selected="0">
            <x v="0"/>
          </reference>
          <reference field="10" count="1" selected="0">
            <x v="8"/>
          </reference>
        </references>
      </pivotArea>
    </chartFormat>
    <chartFormat chart="3" format="5">
      <pivotArea type="data" outline="0" fieldPosition="0">
        <references count="2">
          <reference field="4294967294" count="1" selected="0">
            <x v="0"/>
          </reference>
          <reference field="10" count="1" selected="0">
            <x v="1"/>
          </reference>
        </references>
      </pivotArea>
    </chartFormat>
    <chartFormat chart="3" format="6">
      <pivotArea type="data" outline="0" fieldPosition="0">
        <references count="2">
          <reference field="4294967294" count="1" selected="0">
            <x v="0"/>
          </reference>
          <reference field="10" count="1" selected="0">
            <x v="12"/>
          </reference>
        </references>
      </pivotArea>
    </chartFormat>
    <chartFormat chart="3" format="7">
      <pivotArea type="data" outline="0" fieldPosition="0">
        <references count="2">
          <reference field="4294967294" count="1" selected="0">
            <x v="0"/>
          </reference>
          <reference field="10" count="1" selected="0">
            <x v="9"/>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C4447A-B815-4A29-9997-1C2C53DA0CF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op_8_Products">
  <location ref="D7:E16" firstHeaderRow="1" firstDataRow="1" firstDataCol="1"/>
  <pivotFields count="17">
    <pivotField numFmtId="14" showAll="0"/>
    <pivotField showAll="0">
      <items count="8">
        <item x="5"/>
        <item x="6"/>
        <item x="0"/>
        <item x="1"/>
        <item x="2"/>
        <item x="3"/>
        <item x="4"/>
        <item t="default"/>
      </items>
    </pivotField>
    <pivotField showAll="0"/>
    <pivotField showAll="0"/>
    <pivotField showAll="0"/>
    <pivotField showAll="0"/>
    <pivotField showAll="0"/>
    <pivotField showAll="0"/>
    <pivotField numFmtId="164" showAll="0"/>
    <pivotField dataField="1" numFmtId="164" showAll="0"/>
    <pivotField axis="axisRow" showAll="0" measureFilter="1" sortType="descending">
      <items count="19">
        <item x="4"/>
        <item x="1"/>
        <item x="15"/>
        <item x="0"/>
        <item x="14"/>
        <item x="8"/>
        <item x="13"/>
        <item x="2"/>
        <item x="9"/>
        <item x="12"/>
        <item x="6"/>
        <item x="17"/>
        <item x="3"/>
        <item x="10"/>
        <item x="11"/>
        <item x="5"/>
        <item x="7"/>
        <item x="16"/>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showAll="0"/>
    <pivotField showAll="0"/>
    <pivotField showAll="0">
      <items count="7">
        <item x="5"/>
        <item x="4"/>
        <item x="3"/>
        <item x="2"/>
        <item x="1"/>
        <item x="0"/>
        <item t="default"/>
      </items>
    </pivotField>
    <pivotField showAll="0"/>
    <pivotField showAll="0"/>
  </pivotFields>
  <rowFields count="1">
    <field x="10"/>
  </rowFields>
  <rowItems count="9">
    <i>
      <x v="5"/>
    </i>
    <i>
      <x v="9"/>
    </i>
    <i>
      <x v="11"/>
    </i>
    <i>
      <x v="8"/>
    </i>
    <i>
      <x v="12"/>
    </i>
    <i>
      <x v="13"/>
    </i>
    <i>
      <x v="1"/>
    </i>
    <i>
      <x/>
    </i>
    <i t="grand">
      <x/>
    </i>
  </rowItems>
  <colItems count="1">
    <i/>
  </colItems>
  <dataFields count="1">
    <dataField name="Total_Revenue" fld="9" baseField="10" baseItem="0" numFmtId="164"/>
  </dataFields>
  <chartFormats count="9">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5"/>
          </reference>
        </references>
      </pivotArea>
    </chartFormat>
    <chartFormat chart="3" format="4">
      <pivotArea type="data" outline="0" fieldPosition="0">
        <references count="2">
          <reference field="4294967294" count="1" selected="0">
            <x v="0"/>
          </reference>
          <reference field="10" count="1" selected="0">
            <x v="9"/>
          </reference>
        </references>
      </pivotArea>
    </chartFormat>
    <chartFormat chart="3" format="5">
      <pivotArea type="data" outline="0" fieldPosition="0">
        <references count="2">
          <reference field="4294967294" count="1" selected="0">
            <x v="0"/>
          </reference>
          <reference field="10" count="1" selected="0">
            <x v="11"/>
          </reference>
        </references>
      </pivotArea>
    </chartFormat>
    <chartFormat chart="3" format="6">
      <pivotArea type="data" outline="0" fieldPosition="0">
        <references count="2">
          <reference field="4294967294" count="1" selected="0">
            <x v="0"/>
          </reference>
          <reference field="10" count="1" selected="0">
            <x v="8"/>
          </reference>
        </references>
      </pivotArea>
    </chartFormat>
    <chartFormat chart="3" format="7">
      <pivotArea type="data" outline="0" fieldPosition="0">
        <references count="2">
          <reference field="4294967294" count="1" selected="0">
            <x v="0"/>
          </reference>
          <reference field="10" count="1" selected="0">
            <x v="12"/>
          </reference>
        </references>
      </pivotArea>
    </chartFormat>
    <chartFormat chart="3" format="8">
      <pivotArea type="data" outline="0" fieldPosition="0">
        <references count="2">
          <reference field="4294967294" count="1" selected="0">
            <x v="0"/>
          </reference>
          <reference field="10" count="1" selected="0">
            <x v="13"/>
          </reference>
        </references>
      </pivotArea>
    </chartFormat>
    <chartFormat chart="3" format="9">
      <pivotArea type="data" outline="0" fieldPosition="0">
        <references count="2">
          <reference field="4294967294" count="1" selected="0">
            <x v="0"/>
          </reference>
          <reference field="10" count="1" selected="0">
            <x v="1"/>
          </reference>
        </references>
      </pivotArea>
    </chartFormat>
    <chartFormat chart="3" format="10">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9ED6D2-A194-4326-B93E-1DFAFC7506C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aw_Materials">
  <location ref="J15:K22" firstHeaderRow="1" firstDataRow="1" firstDataCol="1"/>
  <pivotFields count="17">
    <pivotField numFmtId="14" showAll="0"/>
    <pivotField showAll="0">
      <items count="8">
        <item x="5"/>
        <item x="6"/>
        <item x="0"/>
        <item x="1"/>
        <item x="2"/>
        <item x="3"/>
        <item x="4"/>
        <item t="default"/>
      </items>
    </pivotField>
    <pivotField showAll="0"/>
    <pivotField showAll="0"/>
    <pivotField showAll="0"/>
    <pivotField showAll="0"/>
    <pivotField showAll="0"/>
    <pivotField showAll="0"/>
    <pivotField numFmtId="164" showAll="0"/>
    <pivotField dataField="1" numFmtId="164" showAll="0"/>
    <pivotField showAll="0"/>
    <pivotField showAll="0">
      <items count="5">
        <item x="3"/>
        <item x="1"/>
        <item x="0"/>
        <item x="2"/>
        <item t="default"/>
      </items>
    </pivotField>
    <pivotField showAll="0"/>
    <pivotField axis="axisRow" showAll="0" sortType="descending">
      <items count="7">
        <item x="4"/>
        <item x="1"/>
        <item x="0"/>
        <item x="2"/>
        <item x="5"/>
        <item x="3"/>
        <item t="default"/>
      </items>
      <autoSortScope>
        <pivotArea dataOnly="0" outline="0" fieldPosition="0">
          <references count="1">
            <reference field="4294967294" count="1" selected="0">
              <x v="0"/>
            </reference>
          </references>
        </pivotArea>
      </autoSortScope>
    </pivotField>
    <pivotField showAll="0">
      <items count="7">
        <item x="5"/>
        <item x="4"/>
        <item x="3"/>
        <item x="2"/>
        <item x="1"/>
        <item x="0"/>
        <item t="default"/>
      </items>
    </pivotField>
    <pivotField showAll="0"/>
    <pivotField showAll="0"/>
  </pivotFields>
  <rowFields count="1">
    <field x="13"/>
  </rowFields>
  <rowItems count="7">
    <i>
      <x v="1"/>
    </i>
    <i>
      <x v="5"/>
    </i>
    <i>
      <x v="3"/>
    </i>
    <i>
      <x/>
    </i>
    <i>
      <x v="4"/>
    </i>
    <i>
      <x v="2"/>
    </i>
    <i t="grand">
      <x/>
    </i>
  </rowItems>
  <colItems count="1">
    <i/>
  </colItems>
  <dataFields count="1">
    <dataField name="Total_Revenue" fld="9" baseField="13"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BBE411-9171-4F1D-9483-86A6A429E6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numFmtId="14" showAll="0"/>
    <pivotField showAll="0">
      <items count="8">
        <item x="5"/>
        <item x="6"/>
        <item x="0"/>
        <item x="1"/>
        <item x="2"/>
        <item x="3"/>
        <item x="4"/>
        <item t="default"/>
      </items>
    </pivotField>
    <pivotField showAll="0"/>
    <pivotField showAll="0"/>
    <pivotField showAll="0"/>
    <pivotField showAll="0"/>
    <pivotField showAll="0"/>
    <pivotField showAll="0"/>
    <pivotField numFmtId="164" showAll="0"/>
    <pivotField dataField="1" numFmtId="164" showAll="0"/>
    <pivotField showAll="0"/>
    <pivotField showAll="0">
      <items count="5">
        <item x="3"/>
        <item x="1"/>
        <item x="0"/>
        <item x="2"/>
        <item t="default"/>
      </items>
    </pivotField>
    <pivotField showAll="0"/>
    <pivotField showAll="0"/>
    <pivotField showAll="0">
      <items count="7">
        <item x="5"/>
        <item x="4"/>
        <item x="3"/>
        <item x="2"/>
        <item x="1"/>
        <item x="0"/>
        <item t="default"/>
      </items>
    </pivotField>
    <pivotField showAll="0"/>
    <pivotField showAll="0"/>
  </pivotFields>
  <rowItems count="1">
    <i/>
  </rowItems>
  <colItems count="1">
    <i/>
  </colItems>
  <dataFields count="1">
    <dataField name="Total_Revenu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95D4AB-ECA0-44DE-8D8F-5EF832B13D6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Week">
  <location ref="D29:F35" firstHeaderRow="0" firstDataRow="1" firstDataCol="1"/>
  <pivotFields count="17">
    <pivotField numFmtId="14" showAll="0"/>
    <pivotField showAll="0">
      <items count="8">
        <item x="5"/>
        <item x="6"/>
        <item x="0"/>
        <item x="1"/>
        <item x="2"/>
        <item x="3"/>
        <item x="4"/>
        <item t="default"/>
      </items>
    </pivotField>
    <pivotField showAll="0"/>
    <pivotField showAll="0"/>
    <pivotField axis="axisRow" showAll="0">
      <items count="6">
        <item x="0"/>
        <item x="1"/>
        <item x="2"/>
        <item x="3"/>
        <item x="4"/>
        <item t="default"/>
      </items>
    </pivotField>
    <pivotField showAll="0"/>
    <pivotField showAll="0"/>
    <pivotField showAll="0"/>
    <pivotField numFmtId="164" showAll="0"/>
    <pivotField dataField="1" numFmtId="164" showAll="0"/>
    <pivotField showAll="0"/>
    <pivotField showAll="0">
      <items count="5">
        <item x="3"/>
        <item x="1"/>
        <item x="0"/>
        <item x="2"/>
        <item t="default"/>
      </items>
    </pivotField>
    <pivotField showAll="0"/>
    <pivotField showAll="0"/>
    <pivotField showAll="0">
      <items count="7">
        <item x="5"/>
        <item x="4"/>
        <item x="3"/>
        <item x="2"/>
        <item x="1"/>
        <item x="0"/>
        <item t="default"/>
      </items>
    </pivotField>
    <pivotField showAll="0"/>
    <pivotField showAll="0"/>
  </pivotFields>
  <rowFields count="1">
    <field x="4"/>
  </rowFields>
  <rowItems count="6">
    <i>
      <x/>
    </i>
    <i>
      <x v="1"/>
    </i>
    <i>
      <x v="2"/>
    </i>
    <i>
      <x v="3"/>
    </i>
    <i>
      <x v="4"/>
    </i>
    <i t="grand">
      <x/>
    </i>
  </rowItems>
  <colFields count="1">
    <field x="-2"/>
  </colFields>
  <colItems count="2">
    <i>
      <x/>
    </i>
    <i i="1">
      <x v="1"/>
    </i>
  </colItems>
  <dataFields count="2">
    <dataField name="Total_Revenue" fld="9" baseField="4" baseItem="0" numFmtId="164"/>
    <dataField name="Week_over_week_analysis" fld="9" showDataAs="percentDiff" baseField="4" baseItem="1048828" numFmtId="1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0"/>
          </reference>
          <reference field="4" count="1" selected="0">
            <x v="1"/>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 chart="6" format="9">
      <pivotArea type="data" outline="0" fieldPosition="0">
        <references count="2">
          <reference field="4294967294" count="1" selected="0">
            <x v="0"/>
          </reference>
          <reference field="4" count="1" selected="0">
            <x v="3"/>
          </reference>
        </references>
      </pivotArea>
    </chartFormat>
    <chartFormat chart="6" format="10">
      <pivotArea type="data" outline="0" fieldPosition="0">
        <references count="2">
          <reference field="4294967294" count="1" selected="0">
            <x v="1"/>
          </reference>
          <reference field="4" count="1" selected="0">
            <x v="2"/>
          </reference>
        </references>
      </pivotArea>
    </chartFormat>
    <chartFormat chart="6" format="11">
      <pivotArea type="data" outline="0" fieldPosition="0">
        <references count="2">
          <reference field="4294967294" count="1" selected="0">
            <x v="1"/>
          </reference>
          <reference field="4" count="1" selected="0">
            <x v="3"/>
          </reference>
        </references>
      </pivotArea>
    </chartFormat>
    <chartFormat chart="6" format="12">
      <pivotArea type="data" outline="0" fieldPosition="0">
        <references count="2">
          <reference field="4294967294" count="1" selected="0">
            <x v="1"/>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2D7821-962E-46FA-A197-9CBEF2EAFBF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aw_Materials">
  <location ref="A25:B32" firstHeaderRow="1" firstDataRow="1" firstDataCol="1"/>
  <pivotFields count="17">
    <pivotField numFmtId="14" showAll="0"/>
    <pivotField showAll="0">
      <items count="8">
        <item x="5"/>
        <item x="6"/>
        <item x="0"/>
        <item x="1"/>
        <item x="2"/>
        <item x="3"/>
        <item x="4"/>
        <item t="default"/>
      </items>
    </pivotField>
    <pivotField showAll="0"/>
    <pivotField showAll="0"/>
    <pivotField showAll="0"/>
    <pivotField showAll="0"/>
    <pivotField showAll="0"/>
    <pivotField dataField="1" showAll="0"/>
    <pivotField numFmtId="164" showAll="0"/>
    <pivotField numFmtId="164" showAll="0"/>
    <pivotField showAll="0"/>
    <pivotField showAll="0">
      <items count="5">
        <item x="3"/>
        <item x="1"/>
        <item x="0"/>
        <item x="2"/>
        <item t="default"/>
      </items>
    </pivotField>
    <pivotField showAll="0"/>
    <pivotField axis="axisRow" showAll="0" sortType="descending">
      <items count="7">
        <item x="4"/>
        <item x="1"/>
        <item x="0"/>
        <item x="2"/>
        <item x="5"/>
        <item x="3"/>
        <item t="default"/>
      </items>
      <autoSortScope>
        <pivotArea dataOnly="0" outline="0" fieldPosition="0">
          <references count="1">
            <reference field="4294967294" count="1" selected="0">
              <x v="0"/>
            </reference>
          </references>
        </pivotArea>
      </autoSortScope>
    </pivotField>
    <pivotField showAll="0">
      <items count="7">
        <item x="5"/>
        <item x="4"/>
        <item x="3"/>
        <item x="2"/>
        <item x="1"/>
        <item x="0"/>
        <item t="default"/>
      </items>
    </pivotField>
    <pivotField showAll="0"/>
    <pivotField showAll="0"/>
  </pivotFields>
  <rowFields count="1">
    <field x="13"/>
  </rowFields>
  <rowItems count="7">
    <i>
      <x v="1"/>
    </i>
    <i>
      <x v="5"/>
    </i>
    <i>
      <x v="3"/>
    </i>
    <i>
      <x/>
    </i>
    <i>
      <x v="4"/>
    </i>
    <i>
      <x v="2"/>
    </i>
    <i t="grand">
      <x/>
    </i>
  </rowItems>
  <colItems count="1">
    <i/>
  </colItems>
  <dataFields count="1">
    <dataField name="Total_Quantity_Sold" fld="7"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12A594-7C6F-4CC6-BF51-18717EF2C9A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A7:B14" firstHeaderRow="1" firstDataRow="1" firstDataCol="1"/>
  <pivotFields count="17">
    <pivotField numFmtId="14" showAll="0"/>
    <pivotField showAll="0">
      <items count="8">
        <item x="5"/>
        <item x="6"/>
        <item x="0"/>
        <item x="1"/>
        <item x="2"/>
        <item x="3"/>
        <item x="4"/>
        <item t="default"/>
      </items>
    </pivotField>
    <pivotField showAll="0"/>
    <pivotField showAll="0"/>
    <pivotField showAll="0"/>
    <pivotField showAll="0"/>
    <pivotField showAll="0"/>
    <pivotField showAll="0"/>
    <pivotField numFmtId="164" showAll="0"/>
    <pivotField dataField="1" numFmtId="164" showAll="0"/>
    <pivotField showAll="0"/>
    <pivotField showAll="0">
      <items count="5">
        <item x="3"/>
        <item x="1"/>
        <item x="0"/>
        <item x="2"/>
        <item t="default"/>
      </items>
    </pivotField>
    <pivotField showAll="0"/>
    <pivotField showAll="0"/>
    <pivotField axis="axisRow" showAll="0" sortType="descending">
      <items count="7">
        <item x="5"/>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s>
  <rowFields count="1">
    <field x="14"/>
  </rowFields>
  <rowItems count="7">
    <i>
      <x v="1"/>
    </i>
    <i>
      <x/>
    </i>
    <i>
      <x v="2"/>
    </i>
    <i>
      <x v="5"/>
    </i>
    <i>
      <x v="3"/>
    </i>
    <i>
      <x v="4"/>
    </i>
    <i t="grand">
      <x/>
    </i>
  </rowItems>
  <colItems count="1">
    <i/>
  </colItems>
  <dataFields count="1">
    <dataField name="Total_Revenue" fld="9" baseField="14" baseItem="0" numFmtId="164"/>
  </dataField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4"/>
          </reference>
        </references>
      </pivotArea>
    </chartFormat>
    <chartFormat chart="3" format="4">
      <pivotArea type="data" outline="0" fieldPosition="0">
        <references count="2">
          <reference field="4294967294" count="1" selected="0">
            <x v="0"/>
          </reference>
          <reference field="14" count="1" selected="0">
            <x v="3"/>
          </reference>
        </references>
      </pivotArea>
    </chartFormat>
    <chartFormat chart="3" format="5">
      <pivotArea type="data" outline="0" fieldPosition="0">
        <references count="2">
          <reference field="4294967294" count="1" selected="0">
            <x v="0"/>
          </reference>
          <reference field="14" count="1" selected="0">
            <x v="5"/>
          </reference>
        </references>
      </pivotArea>
    </chartFormat>
    <chartFormat chart="3" format="6">
      <pivotArea type="data" outline="0" fieldPosition="0">
        <references count="2">
          <reference field="4294967294" count="1" selected="0">
            <x v="0"/>
          </reference>
          <reference field="14" count="1" selected="0">
            <x v="2"/>
          </reference>
        </references>
      </pivotArea>
    </chartFormat>
    <chartFormat chart="3" format="7">
      <pivotArea type="data" outline="0" fieldPosition="0">
        <references count="2">
          <reference field="4294967294" count="1" selected="0">
            <x v="0"/>
          </reference>
          <reference field="14" count="1" selected="0">
            <x v="0"/>
          </reference>
        </references>
      </pivotArea>
    </chartFormat>
    <chartFormat chart="3"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1C79B68-9E7D-41FE-872E-1B4A876D52B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Line">
  <location ref="G7:H12" firstHeaderRow="1" firstDataRow="1" firstDataCol="1"/>
  <pivotFields count="17">
    <pivotField numFmtId="14" showAll="0"/>
    <pivotField showAll="0">
      <items count="8">
        <item x="5"/>
        <item x="6"/>
        <item x="0"/>
        <item x="1"/>
        <item x="2"/>
        <item x="3"/>
        <item x="4"/>
        <item t="default"/>
      </items>
    </pivotField>
    <pivotField showAll="0"/>
    <pivotField showAll="0"/>
    <pivotField showAll="0"/>
    <pivotField showAll="0"/>
    <pivotField showAll="0"/>
    <pivotField showAll="0"/>
    <pivotField numFmtId="164" showAll="0"/>
    <pivotField dataField="1" numFmtId="164" showAll="0"/>
    <pivotField showAll="0"/>
    <pivotField showAll="0">
      <items count="5">
        <item x="3"/>
        <item x="1"/>
        <item x="0"/>
        <item x="2"/>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7">
        <item x="5"/>
        <item x="4"/>
        <item x="3"/>
        <item x="2"/>
        <item x="1"/>
        <item x="0"/>
        <item t="default"/>
      </items>
    </pivotField>
    <pivotField showAll="0"/>
    <pivotField showAll="0"/>
  </pivotFields>
  <rowFields count="1">
    <field x="12"/>
  </rowFields>
  <rowItems count="5">
    <i>
      <x v="2"/>
    </i>
    <i>
      <x v="3"/>
    </i>
    <i>
      <x/>
    </i>
    <i>
      <x v="1"/>
    </i>
    <i t="grand">
      <x/>
    </i>
  </rowItems>
  <colItems count="1">
    <i/>
  </colItems>
  <dataFields count="1">
    <dataField name="Total_Revenue" fld="9" baseField="1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A3F8AC-457C-43DF-8D39-B2AB19B83D1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7">
    <pivotField numFmtId="14" showAll="0"/>
    <pivotField showAll="0">
      <items count="8">
        <item x="5"/>
        <item x="6"/>
        <item x="0"/>
        <item x="1"/>
        <item x="2"/>
        <item x="3"/>
        <item x="4"/>
        <item t="default"/>
      </items>
    </pivotField>
    <pivotField showAll="0"/>
    <pivotField showAll="0"/>
    <pivotField showAll="0"/>
    <pivotField showAll="0"/>
    <pivotField showAll="0"/>
    <pivotField dataField="1" showAll="0"/>
    <pivotField numFmtId="164" showAll="0"/>
    <pivotField numFmtId="164" showAll="0"/>
    <pivotField showAll="0"/>
    <pivotField showAll="0">
      <items count="5">
        <item x="3"/>
        <item x="1"/>
        <item x="0"/>
        <item x="2"/>
        <item t="default"/>
      </items>
    </pivotField>
    <pivotField showAll="0"/>
    <pivotField showAll="0"/>
    <pivotField showAll="0">
      <items count="7">
        <item x="5"/>
        <item x="4"/>
        <item x="3"/>
        <item x="2"/>
        <item x="1"/>
        <item x="0"/>
        <item t="default"/>
      </items>
    </pivotField>
    <pivotField showAll="0"/>
    <pivotField showAll="0"/>
  </pivotFields>
  <rowItems count="1">
    <i/>
  </rowItems>
  <colItems count="1">
    <i/>
  </colItems>
  <dataFields count="1">
    <dataField name="Total_Quantity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634709-87D2-4082-923F-BF52D47F3502}" sourceName="Region">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5"/>
    <pivotTable tabId="3" name="PivotTable7"/>
    <pivotTable tabId="3" name="PivotTable8"/>
    <pivotTable tabId="3" name="PivotTable9"/>
  </pivotTables>
  <data>
    <tabular pivotCacheId="1137723507">
      <items count="6">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E30F886B-3ECA-42D1-A4DE-2BBA13314B08}" sourceName="Day">
  <pivotTables>
    <pivotTable tabId="3" name="PivotTable1"/>
    <pivotTable tabId="3" name="PivotTable11"/>
    <pivotTable tabId="3" name="PivotTable12"/>
    <pivotTable tabId="3" name="PivotTable13"/>
    <pivotTable tabId="3" name="PivotTable14"/>
    <pivotTable tabId="3" name="PivotTable15"/>
    <pivotTable tabId="3" name="PivotTable5"/>
    <pivotTable tabId="3" name="PivotTable6"/>
    <pivotTable tabId="3" name="PivotTable7"/>
    <pivotTable tabId="3" name="PivotTable8"/>
    <pivotTable tabId="3" name="PivotTable9"/>
  </pivotTables>
  <data>
    <tabular pivotCacheId="1137723507">
      <items count="7">
        <i x="5" s="1"/>
        <i x="6" s="1"/>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F4D211F-B1CC-4212-ACE8-D5D3B0CE7E79}" sourceName="Product_Category">
  <pivotTables>
    <pivotTable tabId="3" name="PivotTable1"/>
    <pivotTable tabId="3" name="PivotTable10"/>
    <pivotTable tabId="3" name="PivotTable11"/>
    <pivotTable tabId="3" name="PivotTable13"/>
    <pivotTable tabId="3" name="PivotTable14"/>
    <pivotTable tabId="3" name="PivotTable15"/>
    <pivotTable tabId="3" name="PivotTable5"/>
    <pivotTable tabId="3" name="PivotTable6"/>
    <pivotTable tabId="3" name="PivotTable7"/>
    <pivotTable tabId="3" name="PivotTable8"/>
  </pivotTables>
  <data>
    <tabular pivotCacheId="1137723507">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0E8872B-F4E5-4791-A0A4-DEA431D24AA7}" cache="Slicer_Region" caption="Region" rowHeight="241300"/>
  <slicer name="Day" xr10:uid="{C4471206-2F34-4073-BFF1-8EEF02D52EF9}" cache="Slicer_Day" caption="Day" rowHeight="241300"/>
  <slicer name="Product_Category" xr10:uid="{CA2DA25F-9D94-4911-B8E5-973470E772DE}" cache="Slicer_Product_Category" caption="Product_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55B3C07-7119-4885-9586-EA16F72221B8}" cache="Slicer_Region" caption="Region" style="SlicerStyleLight2" rowHeight="241300"/>
  <slicer name="Day 1" xr10:uid="{001ECF61-836F-45E6-8759-B9CFEA832AF3}" cache="Slicer_Day" caption="Day" style="SlicerStyleLight2" rowHeight="241300"/>
  <slicer name="Product_Category 1" xr10:uid="{FED70FA5-B1F5-4718-915D-B079907CB384}" cache="Slicer_Product_Category" caption="Product_Category"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9CC3AD-6693-4BA5-A6A3-20A6B82032D1}" name="Table1" displayName="Table1" ref="A1:Q31" totalsRowShown="0" headerRowDxfId="3">
  <autoFilter ref="A1:Q31" xr:uid="{DE9CC3AD-6693-4BA5-A6A3-20A6B82032D1}"/>
  <tableColumns count="17">
    <tableColumn id="1" xr3:uid="{F20B0002-4AF0-4D99-B7BF-6AEFC145533F}" name="Date" dataDxfId="2"/>
    <tableColumn id="2" xr3:uid="{33DF40BE-C643-4754-9030-1B29B1A6346C}" name="Day">
      <calculatedColumnFormula>TEXT(A2, "DDDD")</calculatedColumnFormula>
    </tableColumn>
    <tableColumn id="3" xr3:uid="{F202BCBA-76CF-4CCD-AD35-9DE02459D3BB}" name="Month">
      <calculatedColumnFormula>TEXT(A2,"MMMM")</calculatedColumnFormula>
    </tableColumn>
    <tableColumn id="4" xr3:uid="{93FB44D7-813F-497C-81E2-CCA14EAEC3DC}" name="Year">
      <calculatedColumnFormula>TEXT(A2, "YYYY")</calculatedColumnFormula>
    </tableColumn>
    <tableColumn id="5" xr3:uid="{142D2A65-B783-4A46-8B4A-9DB27EB9F3AB}" name="Week">
      <calculatedColumnFormula>WEEKNUM(A2)</calculatedColumnFormula>
    </tableColumn>
    <tableColumn id="6" xr3:uid="{D3CD0475-8F6A-4B0F-89C8-AFDDDB729563}" name="Customer_ID"/>
    <tableColumn id="7" xr3:uid="{EF3CB8BC-66C3-4200-A319-B2428F17F2D9}" name="Product_ID"/>
    <tableColumn id="8" xr3:uid="{5FDFC9BE-1908-45A3-B42C-2EC2F6A9BF8C}" name="Quantity"/>
    <tableColumn id="9" xr3:uid="{86FDC874-FF6D-4B2C-8C6A-A1D2C5649FBF}" name="Unit_Price" dataDxfId="1"/>
    <tableColumn id="10" xr3:uid="{2A03466A-B54C-4D50-A689-BBAA6B4E9B3F}" name="Sales_Revenue" dataDxfId="0"/>
    <tableColumn id="11" xr3:uid="{568721CB-D730-4867-A493-1E8F6FCCCD2D}" name="Product_Description"/>
    <tableColumn id="12" xr3:uid="{AC559B36-42AF-4E15-8A55-0CCAD955BEF5}" name="Product_Category"/>
    <tableColumn id="13" xr3:uid="{392EA92B-B3D7-4937-B0F1-F4171D4F041F}" name="Product_Line"/>
    <tableColumn id="14" xr3:uid="{0437252C-5EA5-41BB-9B8B-1394A0701D5D}" name="Raw_Material"/>
    <tableColumn id="15" xr3:uid="{3A88D4C1-D403-47A2-8ED7-CFD6545B682D}" name="Region"/>
    <tableColumn id="16" xr3:uid="{B62230CD-E6C7-4535-9D66-AAB7A63B3F33}" name="Latitude"/>
    <tableColumn id="17" xr3:uid="{9CF08C0D-FB40-4500-B7B1-E21F3E8DDE6E}" name="Longitu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312FB-377C-47B4-BE46-79C42D66738A}">
  <dimension ref="A3:N35"/>
  <sheetViews>
    <sheetView topLeftCell="F11" zoomScaleNormal="100" workbookViewId="0">
      <selection activeCell="M15" sqref="M15"/>
    </sheetView>
  </sheetViews>
  <sheetFormatPr defaultRowHeight="15" x14ac:dyDescent="0.25"/>
  <cols>
    <col min="1" max="1" width="11.28515625" bestFit="1" customWidth="1"/>
    <col min="2" max="2" width="14.42578125" bestFit="1" customWidth="1"/>
    <col min="3" max="3" width="20.7109375" bestFit="1" customWidth="1"/>
    <col min="4" max="4" width="17.42578125" bestFit="1" customWidth="1"/>
    <col min="5" max="5" width="14.42578125" bestFit="1" customWidth="1"/>
    <col min="6" max="6" width="25.7109375" bestFit="1" customWidth="1"/>
    <col min="7" max="7" width="14.85546875" bestFit="1" customWidth="1"/>
    <col min="8" max="8" width="14.42578125" bestFit="1" customWidth="1"/>
    <col min="9" max="9" width="19.28515625" bestFit="1" customWidth="1"/>
    <col min="10" max="10" width="19.140625" bestFit="1" customWidth="1"/>
    <col min="11" max="11" width="14.42578125" bestFit="1" customWidth="1"/>
    <col min="13" max="13" width="17.42578125" bestFit="1" customWidth="1"/>
    <col min="14" max="14" width="19.28515625" bestFit="1" customWidth="1"/>
  </cols>
  <sheetData>
    <row r="3" spans="1:14" x14ac:dyDescent="0.25">
      <c r="A3" t="s">
        <v>55</v>
      </c>
      <c r="I3" t="s">
        <v>56</v>
      </c>
    </row>
    <row r="4" spans="1:14" x14ac:dyDescent="0.25">
      <c r="A4" s="4">
        <v>2390.6385765099999</v>
      </c>
      <c r="I4" s="8">
        <v>62</v>
      </c>
    </row>
    <row r="5" spans="1:14" x14ac:dyDescent="0.25">
      <c r="A5" s="4"/>
    </row>
    <row r="7" spans="1:14" x14ac:dyDescent="0.25">
      <c r="A7" s="5" t="s">
        <v>10</v>
      </c>
      <c r="B7" t="s">
        <v>55</v>
      </c>
      <c r="D7" s="5" t="s">
        <v>67</v>
      </c>
      <c r="E7" t="s">
        <v>55</v>
      </c>
      <c r="G7" s="5" t="s">
        <v>8</v>
      </c>
      <c r="H7" t="s">
        <v>55</v>
      </c>
      <c r="J7" s="5" t="s">
        <v>7</v>
      </c>
      <c r="K7" t="s">
        <v>55</v>
      </c>
    </row>
    <row r="8" spans="1:14" x14ac:dyDescent="0.25">
      <c r="A8" s="6" t="s">
        <v>33</v>
      </c>
      <c r="B8" s="4">
        <v>828.9267001500001</v>
      </c>
      <c r="D8" s="6" t="s">
        <v>36</v>
      </c>
      <c r="E8" s="4">
        <v>291.90186356999999</v>
      </c>
      <c r="G8" s="6" t="s">
        <v>15</v>
      </c>
      <c r="H8" s="4">
        <v>1874.6702013499998</v>
      </c>
      <c r="J8" s="6" t="s">
        <v>26</v>
      </c>
      <c r="K8" s="4">
        <v>1097.7054211499999</v>
      </c>
    </row>
    <row r="9" spans="1:14" x14ac:dyDescent="0.25">
      <c r="A9" s="6" t="s">
        <v>46</v>
      </c>
      <c r="B9" s="4">
        <v>404.43341353</v>
      </c>
      <c r="D9" s="6" t="s">
        <v>43</v>
      </c>
      <c r="E9" s="4">
        <v>212.75635004000003</v>
      </c>
      <c r="G9" s="6" t="s">
        <v>23</v>
      </c>
      <c r="H9" s="4">
        <v>344.33999089000002</v>
      </c>
      <c r="J9" s="6" t="s">
        <v>19</v>
      </c>
      <c r="K9" s="4">
        <v>933.16672304000008</v>
      </c>
    </row>
    <row r="10" spans="1:14" x14ac:dyDescent="0.25">
      <c r="A10" s="6" t="s">
        <v>31</v>
      </c>
      <c r="B10" s="4">
        <v>330.16535188000006</v>
      </c>
      <c r="D10" s="6" t="s">
        <v>50</v>
      </c>
      <c r="E10" s="4">
        <v>196.45854758000002</v>
      </c>
      <c r="G10" s="6" t="s">
        <v>29</v>
      </c>
      <c r="H10" s="4">
        <v>149.66257250000001</v>
      </c>
      <c r="J10" s="6" t="s">
        <v>28</v>
      </c>
      <c r="K10" s="4">
        <v>220.49460435000003</v>
      </c>
    </row>
    <row r="11" spans="1:14" x14ac:dyDescent="0.25">
      <c r="A11" s="6" t="s">
        <v>17</v>
      </c>
      <c r="B11" s="4">
        <v>309.75737827</v>
      </c>
      <c r="D11" s="6" t="s">
        <v>38</v>
      </c>
      <c r="E11" s="4">
        <v>180.50277937999999</v>
      </c>
      <c r="G11" s="6" t="s">
        <v>45</v>
      </c>
      <c r="H11" s="4">
        <v>21.965811769999998</v>
      </c>
      <c r="J11" s="6" t="s">
        <v>14</v>
      </c>
      <c r="K11" s="4">
        <v>139.27182797</v>
      </c>
    </row>
    <row r="12" spans="1:14" x14ac:dyDescent="0.25">
      <c r="A12" s="6" t="s">
        <v>24</v>
      </c>
      <c r="B12" s="4">
        <v>302.07013631000001</v>
      </c>
      <c r="D12" s="6" t="s">
        <v>25</v>
      </c>
      <c r="E12" s="4">
        <v>177.57052987999998</v>
      </c>
      <c r="G12" s="6" t="s">
        <v>57</v>
      </c>
      <c r="H12" s="4">
        <v>2390.6385765099999</v>
      </c>
      <c r="J12" s="6" t="s">
        <v>57</v>
      </c>
      <c r="K12" s="4">
        <v>2390.6385765100003</v>
      </c>
    </row>
    <row r="13" spans="1:14" x14ac:dyDescent="0.25">
      <c r="A13" s="6" t="s">
        <v>21</v>
      </c>
      <c r="B13" s="4">
        <v>215.28559637000001</v>
      </c>
      <c r="D13" s="6" t="s">
        <v>40</v>
      </c>
      <c r="E13" s="4">
        <v>175.48614799999999</v>
      </c>
    </row>
    <row r="14" spans="1:14" x14ac:dyDescent="0.25">
      <c r="A14" s="6" t="s">
        <v>57</v>
      </c>
      <c r="B14" s="4">
        <v>2390.6385765100003</v>
      </c>
      <c r="D14" s="6" t="s">
        <v>18</v>
      </c>
      <c r="E14" s="4">
        <v>165.28297734</v>
      </c>
    </row>
    <row r="15" spans="1:14" x14ac:dyDescent="0.25">
      <c r="D15" s="6" t="s">
        <v>27</v>
      </c>
      <c r="E15" s="4">
        <v>149.66257250000001</v>
      </c>
      <c r="G15" s="5" t="s">
        <v>51</v>
      </c>
      <c r="H15" t="s">
        <v>55</v>
      </c>
      <c r="J15" s="5" t="s">
        <v>65</v>
      </c>
      <c r="K15" t="s">
        <v>55</v>
      </c>
      <c r="M15" s="5" t="s">
        <v>68</v>
      </c>
      <c r="N15" t="s">
        <v>56</v>
      </c>
    </row>
    <row r="16" spans="1:14" x14ac:dyDescent="0.25">
      <c r="D16" s="6" t="s">
        <v>57</v>
      </c>
      <c r="E16" s="4">
        <v>1549.6217682900001</v>
      </c>
      <c r="G16" s="6" t="s">
        <v>61</v>
      </c>
      <c r="H16" s="4">
        <v>578.52047515999993</v>
      </c>
      <c r="J16" s="6" t="s">
        <v>20</v>
      </c>
      <c r="K16" s="4">
        <v>1238.3157244899999</v>
      </c>
      <c r="M16" s="6" t="s">
        <v>36</v>
      </c>
      <c r="N16" s="8">
        <v>9</v>
      </c>
    </row>
    <row r="17" spans="1:14" x14ac:dyDescent="0.25">
      <c r="A17" s="5" t="s">
        <v>7</v>
      </c>
      <c r="B17" t="s">
        <v>56</v>
      </c>
      <c r="G17" s="6" t="s">
        <v>63</v>
      </c>
      <c r="H17" s="4">
        <v>435.25504847000002</v>
      </c>
      <c r="J17" s="6" t="s">
        <v>37</v>
      </c>
      <c r="K17" s="4">
        <v>432.64509835999996</v>
      </c>
      <c r="M17" s="6" t="s">
        <v>38</v>
      </c>
      <c r="N17" s="8">
        <v>6</v>
      </c>
    </row>
    <row r="18" spans="1:14" x14ac:dyDescent="0.25">
      <c r="A18" s="6" t="s">
        <v>26</v>
      </c>
      <c r="B18" s="8">
        <v>28</v>
      </c>
      <c r="G18" s="6" t="s">
        <v>64</v>
      </c>
      <c r="H18" s="4">
        <v>346.57027406999998</v>
      </c>
      <c r="J18" s="6" t="s">
        <v>30</v>
      </c>
      <c r="K18" s="4">
        <v>292.46303515</v>
      </c>
      <c r="M18" s="6" t="s">
        <v>18</v>
      </c>
      <c r="N18" s="8">
        <v>5</v>
      </c>
    </row>
    <row r="19" spans="1:14" x14ac:dyDescent="0.25">
      <c r="A19" s="6" t="s">
        <v>19</v>
      </c>
      <c r="B19" s="8">
        <v>27</v>
      </c>
      <c r="G19" s="6" t="s">
        <v>60</v>
      </c>
      <c r="H19" s="4">
        <v>291.36585979</v>
      </c>
      <c r="J19" s="6" t="s">
        <v>39</v>
      </c>
      <c r="K19" s="4">
        <v>180.50277937999999</v>
      </c>
      <c r="M19" s="6" t="s">
        <v>25</v>
      </c>
      <c r="N19" s="8">
        <v>5</v>
      </c>
    </row>
    <row r="20" spans="1:14" x14ac:dyDescent="0.25">
      <c r="A20" s="6" t="s">
        <v>28</v>
      </c>
      <c r="B20" s="8">
        <v>5</v>
      </c>
      <c r="G20" s="6" t="s">
        <v>58</v>
      </c>
      <c r="H20" s="4">
        <v>272.92432274999999</v>
      </c>
      <c r="J20" s="6" t="s">
        <v>42</v>
      </c>
      <c r="K20" s="4">
        <v>129.40592293</v>
      </c>
      <c r="M20" s="6" t="s">
        <v>43</v>
      </c>
      <c r="N20" s="8">
        <v>5</v>
      </c>
    </row>
    <row r="21" spans="1:14" x14ac:dyDescent="0.25">
      <c r="A21" s="6" t="s">
        <v>14</v>
      </c>
      <c r="B21" s="8">
        <v>2</v>
      </c>
      <c r="G21" s="6" t="s">
        <v>62</v>
      </c>
      <c r="H21" s="4">
        <v>258.64810334999999</v>
      </c>
      <c r="J21" s="6" t="s">
        <v>16</v>
      </c>
      <c r="K21" s="4">
        <v>117.3060162</v>
      </c>
      <c r="M21" s="6" t="s">
        <v>57</v>
      </c>
      <c r="N21" s="8">
        <v>30</v>
      </c>
    </row>
    <row r="22" spans="1:14" x14ac:dyDescent="0.25">
      <c r="A22" s="6" t="s">
        <v>57</v>
      </c>
      <c r="B22" s="8">
        <v>62</v>
      </c>
      <c r="G22" s="6" t="s">
        <v>59</v>
      </c>
      <c r="H22" s="4">
        <v>207.35449292000001</v>
      </c>
      <c r="J22" s="6" t="s">
        <v>57</v>
      </c>
      <c r="K22" s="4">
        <v>2390.6385765099999</v>
      </c>
    </row>
    <row r="23" spans="1:14" x14ac:dyDescent="0.25">
      <c r="G23" s="6" t="s">
        <v>57</v>
      </c>
      <c r="H23" s="4">
        <v>2390.6385765099999</v>
      </c>
    </row>
    <row r="25" spans="1:14" x14ac:dyDescent="0.25">
      <c r="A25" s="5" t="s">
        <v>65</v>
      </c>
      <c r="B25" t="s">
        <v>56</v>
      </c>
    </row>
    <row r="26" spans="1:14" x14ac:dyDescent="0.25">
      <c r="A26" s="6" t="s">
        <v>20</v>
      </c>
      <c r="B26" s="8">
        <v>33</v>
      </c>
    </row>
    <row r="27" spans="1:14" x14ac:dyDescent="0.25">
      <c r="A27" s="6" t="s">
        <v>37</v>
      </c>
      <c r="B27" s="8">
        <v>12</v>
      </c>
    </row>
    <row r="28" spans="1:14" x14ac:dyDescent="0.25">
      <c r="A28" s="6" t="s">
        <v>30</v>
      </c>
      <c r="B28" s="8">
        <v>7</v>
      </c>
    </row>
    <row r="29" spans="1:14" x14ac:dyDescent="0.25">
      <c r="A29" s="6" t="s">
        <v>39</v>
      </c>
      <c r="B29" s="8">
        <v>6</v>
      </c>
      <c r="D29" s="5" t="s">
        <v>54</v>
      </c>
      <c r="E29" t="s">
        <v>55</v>
      </c>
      <c r="F29" t="s">
        <v>66</v>
      </c>
    </row>
    <row r="30" spans="1:14" x14ac:dyDescent="0.25">
      <c r="A30" s="6" t="s">
        <v>42</v>
      </c>
      <c r="B30" s="8">
        <v>3</v>
      </c>
      <c r="D30" s="6">
        <v>23</v>
      </c>
      <c r="E30" s="4">
        <v>414.17263438999998</v>
      </c>
      <c r="F30" s="7"/>
    </row>
    <row r="31" spans="1:14" x14ac:dyDescent="0.25">
      <c r="A31" s="6" t="s">
        <v>16</v>
      </c>
      <c r="B31" s="8">
        <v>1</v>
      </c>
      <c r="D31" s="6">
        <v>24</v>
      </c>
      <c r="E31" s="4">
        <v>692.38375389000009</v>
      </c>
      <c r="F31" s="7">
        <v>0.67172743054295181</v>
      </c>
    </row>
    <row r="32" spans="1:14" x14ac:dyDescent="0.25">
      <c r="A32" s="6" t="s">
        <v>57</v>
      </c>
      <c r="B32" s="8">
        <v>62</v>
      </c>
      <c r="D32" s="6">
        <v>25</v>
      </c>
      <c r="E32" s="4">
        <v>638.04008345000011</v>
      </c>
      <c r="F32" s="7">
        <v>-7.8487789660982757E-2</v>
      </c>
    </row>
    <row r="33" spans="4:6" x14ac:dyDescent="0.25">
      <c r="D33" s="6">
        <v>26</v>
      </c>
      <c r="E33" s="4">
        <v>497.94393650000006</v>
      </c>
      <c r="F33" s="7">
        <v>-0.21957264219588588</v>
      </c>
    </row>
    <row r="34" spans="4:6" x14ac:dyDescent="0.25">
      <c r="D34" s="6">
        <v>27</v>
      </c>
      <c r="E34" s="4">
        <v>148.09816827999998</v>
      </c>
      <c r="F34" s="7">
        <v>-0.70258063724810527</v>
      </c>
    </row>
    <row r="35" spans="4:6" x14ac:dyDescent="0.25">
      <c r="D35" s="6" t="s">
        <v>57</v>
      </c>
      <c r="E35" s="4">
        <v>2390.6385765100003</v>
      </c>
      <c r="F35" s="7"/>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22E6C-CC15-40B5-9A2C-502B13AA6FF6}">
  <sheetPr>
    <pageSetUpPr fitToPage="1"/>
  </sheetPr>
  <dimension ref="A1"/>
  <sheetViews>
    <sheetView tabSelected="1" zoomScale="55" zoomScaleNormal="55" workbookViewId="0">
      <selection activeCell="AF46" sqref="AF46"/>
    </sheetView>
  </sheetViews>
  <sheetFormatPr defaultRowHeight="15" x14ac:dyDescent="0.25"/>
  <sheetData/>
  <pageMargins left="0.25" right="0.25" top="0.75" bottom="0.75" header="0.3" footer="0.3"/>
  <pageSetup scale="46"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62FE9-C120-4409-BDDA-8879BC9300F1}">
  <dimension ref="A1:Q31"/>
  <sheetViews>
    <sheetView topLeftCell="H1" workbookViewId="0">
      <selection activeCell="K2" sqref="K2"/>
    </sheetView>
  </sheetViews>
  <sheetFormatPr defaultRowHeight="15" x14ac:dyDescent="0.25"/>
  <cols>
    <col min="1" max="1" width="11.85546875" customWidth="1"/>
    <col min="2" max="2" width="12.28515625" customWidth="1"/>
    <col min="3" max="3" width="10.85546875" customWidth="1"/>
    <col min="5" max="5" width="9.7109375" customWidth="1"/>
    <col min="6" max="6" width="18.28515625" customWidth="1"/>
    <col min="7" max="7" width="15.7109375" customWidth="1"/>
    <col min="8" max="8" width="17.85546875" customWidth="1"/>
    <col min="9" max="9" width="17.5703125" style="4" customWidth="1"/>
    <col min="10" max="10" width="20.28515625" style="4" customWidth="1"/>
    <col min="11" max="11" width="26.42578125" customWidth="1"/>
    <col min="12" max="12" width="23.42578125" customWidth="1"/>
    <col min="13" max="13" width="20.140625" customWidth="1"/>
    <col min="14" max="14" width="20.5703125" customWidth="1"/>
    <col min="15" max="15" width="11" customWidth="1"/>
    <col min="16" max="17" width="14.42578125" customWidth="1"/>
  </cols>
  <sheetData>
    <row r="1" spans="1:17" s="1" customFormat="1" ht="18.75" x14ac:dyDescent="0.3">
      <c r="A1" s="1" t="s">
        <v>0</v>
      </c>
      <c r="B1" s="1" t="s">
        <v>51</v>
      </c>
      <c r="C1" s="1" t="s">
        <v>52</v>
      </c>
      <c r="D1" s="1" t="s">
        <v>53</v>
      </c>
      <c r="E1" s="1" t="s">
        <v>54</v>
      </c>
      <c r="F1" s="1" t="s">
        <v>1</v>
      </c>
      <c r="G1" s="1" t="s">
        <v>2</v>
      </c>
      <c r="H1" s="1" t="s">
        <v>3</v>
      </c>
      <c r="I1" s="3" t="s">
        <v>4</v>
      </c>
      <c r="J1" s="3" t="s">
        <v>5</v>
      </c>
      <c r="K1" s="1" t="s">
        <v>6</v>
      </c>
      <c r="L1" s="1" t="s">
        <v>7</v>
      </c>
      <c r="M1" s="1" t="s">
        <v>8</v>
      </c>
      <c r="N1" s="1" t="s">
        <v>9</v>
      </c>
      <c r="O1" s="1" t="s">
        <v>10</v>
      </c>
      <c r="P1" s="1" t="s">
        <v>11</v>
      </c>
      <c r="Q1" s="1" t="s">
        <v>12</v>
      </c>
    </row>
    <row r="2" spans="1:17" x14ac:dyDescent="0.25">
      <c r="A2" s="2">
        <v>44348</v>
      </c>
      <c r="B2" t="str">
        <f>TEXT(A2, "DDDD")</f>
        <v>Tuesday</v>
      </c>
      <c r="C2" t="str">
        <f>TEXT(A2,"MMMM")</f>
        <v>June</v>
      </c>
      <c r="D2" t="str">
        <f>TEXT(A2, "YYYY")</f>
        <v>2021</v>
      </c>
      <c r="E2">
        <f>WEEKNUM(A2)</f>
        <v>23</v>
      </c>
      <c r="F2">
        <v>98</v>
      </c>
      <c r="G2">
        <v>321</v>
      </c>
      <c r="H2">
        <v>1</v>
      </c>
      <c r="I2" s="4">
        <v>117.3060162</v>
      </c>
      <c r="J2" s="4">
        <v>117.3060162</v>
      </c>
      <c r="K2" t="s">
        <v>13</v>
      </c>
      <c r="L2" t="s">
        <v>14</v>
      </c>
      <c r="M2" t="s">
        <v>15</v>
      </c>
      <c r="N2" t="s">
        <v>16</v>
      </c>
      <c r="O2" t="s">
        <v>17</v>
      </c>
      <c r="P2">
        <v>53.958331999999999</v>
      </c>
      <c r="Q2">
        <v>-1.0802780000000001</v>
      </c>
    </row>
    <row r="3" spans="1:17" x14ac:dyDescent="0.25">
      <c r="A3" s="2">
        <v>44349</v>
      </c>
      <c r="B3" t="str">
        <f t="shared" ref="B3:B31" si="0">TEXT(A3, "DDDD")</f>
        <v>Wednesday</v>
      </c>
      <c r="C3" t="str">
        <f t="shared" ref="C3:C31" si="1">TEXT(A3,"MMMM")</f>
        <v>June</v>
      </c>
      <c r="D3" t="str">
        <f t="shared" ref="D3:D31" si="2">TEXT(A3, "YYYY")</f>
        <v>2021</v>
      </c>
      <c r="E3">
        <f t="shared" ref="E3:E31" si="3">WEEKNUM(A3)</f>
        <v>23</v>
      </c>
      <c r="F3">
        <v>92</v>
      </c>
      <c r="G3">
        <v>261</v>
      </c>
      <c r="H3">
        <v>4</v>
      </c>
      <c r="I3" s="4">
        <v>32.272403320000002</v>
      </c>
      <c r="J3" s="4">
        <v>129.0896133</v>
      </c>
      <c r="K3" t="s">
        <v>18</v>
      </c>
      <c r="L3" t="s">
        <v>19</v>
      </c>
      <c r="M3" t="s">
        <v>15</v>
      </c>
      <c r="N3" t="s">
        <v>20</v>
      </c>
      <c r="O3" t="s">
        <v>21</v>
      </c>
      <c r="P3">
        <v>52.192000999999998</v>
      </c>
      <c r="Q3">
        <v>-2.2200000000000002</v>
      </c>
    </row>
    <row r="4" spans="1:17" x14ac:dyDescent="0.25">
      <c r="A4" s="2">
        <v>44350</v>
      </c>
      <c r="B4" t="str">
        <f t="shared" si="0"/>
        <v>Thursday</v>
      </c>
      <c r="C4" t="str">
        <f t="shared" si="1"/>
        <v>June</v>
      </c>
      <c r="D4" t="str">
        <f t="shared" si="2"/>
        <v>2021</v>
      </c>
      <c r="E4">
        <f t="shared" si="3"/>
        <v>23</v>
      </c>
      <c r="F4">
        <v>92</v>
      </c>
      <c r="G4">
        <v>264</v>
      </c>
      <c r="H4">
        <v>1</v>
      </c>
      <c r="I4" s="4">
        <v>36.193364039999999</v>
      </c>
      <c r="J4" s="4">
        <v>36.193364039999999</v>
      </c>
      <c r="K4" t="s">
        <v>18</v>
      </c>
      <c r="L4" t="s">
        <v>19</v>
      </c>
      <c r="M4" t="s">
        <v>15</v>
      </c>
      <c r="N4" t="s">
        <v>20</v>
      </c>
      <c r="O4" t="s">
        <v>21</v>
      </c>
      <c r="P4">
        <v>52.192000999999998</v>
      </c>
      <c r="Q4">
        <v>-2.2200000000000002</v>
      </c>
    </row>
    <row r="5" spans="1:17" x14ac:dyDescent="0.25">
      <c r="A5" s="2">
        <v>44351</v>
      </c>
      <c r="B5" t="str">
        <f t="shared" si="0"/>
        <v>Friday</v>
      </c>
      <c r="C5" t="str">
        <f t="shared" si="1"/>
        <v>June</v>
      </c>
      <c r="D5" t="str">
        <f t="shared" si="2"/>
        <v>2021</v>
      </c>
      <c r="E5">
        <f t="shared" si="3"/>
        <v>23</v>
      </c>
      <c r="F5">
        <v>99</v>
      </c>
      <c r="G5">
        <v>251</v>
      </c>
      <c r="H5">
        <v>3</v>
      </c>
      <c r="I5" s="4">
        <v>29.913403460000001</v>
      </c>
      <c r="J5" s="4">
        <v>89.74021037</v>
      </c>
      <c r="K5" t="s">
        <v>22</v>
      </c>
      <c r="L5" t="s">
        <v>19</v>
      </c>
      <c r="M5" t="s">
        <v>23</v>
      </c>
      <c r="N5" t="s">
        <v>20</v>
      </c>
      <c r="O5" t="s">
        <v>24</v>
      </c>
      <c r="P5">
        <v>51.063201999999997</v>
      </c>
      <c r="Q5">
        <v>-1.3080000000000001</v>
      </c>
    </row>
    <row r="6" spans="1:17" x14ac:dyDescent="0.25">
      <c r="A6" s="2">
        <v>44352</v>
      </c>
      <c r="B6" t="str">
        <f t="shared" si="0"/>
        <v>Saturday</v>
      </c>
      <c r="C6" t="str">
        <f t="shared" si="1"/>
        <v>June</v>
      </c>
      <c r="D6" t="str">
        <f t="shared" si="2"/>
        <v>2021</v>
      </c>
      <c r="E6">
        <f t="shared" si="3"/>
        <v>23</v>
      </c>
      <c r="F6">
        <v>66</v>
      </c>
      <c r="G6">
        <v>251</v>
      </c>
      <c r="H6">
        <v>1</v>
      </c>
      <c r="I6" s="4">
        <v>41.843430480000002</v>
      </c>
      <c r="J6" s="4">
        <v>41.843430480000002</v>
      </c>
      <c r="K6" t="s">
        <v>25</v>
      </c>
      <c r="L6" t="s">
        <v>26</v>
      </c>
      <c r="M6" t="s">
        <v>23</v>
      </c>
      <c r="N6" t="s">
        <v>20</v>
      </c>
      <c r="O6" t="s">
        <v>24</v>
      </c>
      <c r="P6">
        <v>51.063201999999997</v>
      </c>
      <c r="Q6">
        <v>-1.3080000000000001</v>
      </c>
    </row>
    <row r="7" spans="1:17" x14ac:dyDescent="0.25">
      <c r="A7" s="2">
        <v>44353</v>
      </c>
      <c r="B7" t="str">
        <f t="shared" si="0"/>
        <v>Sunday</v>
      </c>
      <c r="C7" t="str">
        <f t="shared" si="1"/>
        <v>June</v>
      </c>
      <c r="D7" t="str">
        <f t="shared" si="2"/>
        <v>2021</v>
      </c>
      <c r="E7">
        <f t="shared" si="3"/>
        <v>24</v>
      </c>
      <c r="F7">
        <v>97</v>
      </c>
      <c r="G7">
        <v>304</v>
      </c>
      <c r="H7">
        <v>3</v>
      </c>
      <c r="I7" s="4">
        <v>49.887524149999997</v>
      </c>
      <c r="J7" s="4">
        <v>149.66257250000001</v>
      </c>
      <c r="K7" t="s">
        <v>27</v>
      </c>
      <c r="L7" t="s">
        <v>28</v>
      </c>
      <c r="M7" t="s">
        <v>29</v>
      </c>
      <c r="N7" t="s">
        <v>30</v>
      </c>
      <c r="O7" t="s">
        <v>31</v>
      </c>
      <c r="P7">
        <v>51.209000000000003</v>
      </c>
      <c r="Q7">
        <v>-2.6469999999999998</v>
      </c>
    </row>
    <row r="8" spans="1:17" x14ac:dyDescent="0.25">
      <c r="A8" s="2">
        <v>44354</v>
      </c>
      <c r="B8" t="str">
        <f t="shared" si="0"/>
        <v>Monday</v>
      </c>
      <c r="C8" t="str">
        <f t="shared" si="1"/>
        <v>June</v>
      </c>
      <c r="D8" t="str">
        <f t="shared" si="2"/>
        <v>2021</v>
      </c>
      <c r="E8">
        <f t="shared" si="3"/>
        <v>24</v>
      </c>
      <c r="F8">
        <v>45</v>
      </c>
      <c r="G8">
        <v>357</v>
      </c>
      <c r="H8">
        <v>2</v>
      </c>
      <c r="I8" s="4">
        <v>35.41601593</v>
      </c>
      <c r="J8" s="4">
        <v>70.832031850000007</v>
      </c>
      <c r="K8" t="s">
        <v>32</v>
      </c>
      <c r="L8" t="s">
        <v>28</v>
      </c>
      <c r="M8" t="s">
        <v>15</v>
      </c>
      <c r="N8" t="s">
        <v>30</v>
      </c>
      <c r="O8" t="s">
        <v>33</v>
      </c>
      <c r="P8">
        <v>53.68</v>
      </c>
      <c r="Q8">
        <v>-1.49</v>
      </c>
    </row>
    <row r="9" spans="1:17" x14ac:dyDescent="0.25">
      <c r="A9" s="2">
        <v>44355</v>
      </c>
      <c r="B9" t="str">
        <f t="shared" si="0"/>
        <v>Tuesday</v>
      </c>
      <c r="C9" t="str">
        <f t="shared" si="1"/>
        <v>June</v>
      </c>
      <c r="D9" t="str">
        <f t="shared" si="2"/>
        <v>2021</v>
      </c>
      <c r="E9">
        <f t="shared" si="3"/>
        <v>24</v>
      </c>
      <c r="F9">
        <v>81</v>
      </c>
      <c r="G9">
        <v>258</v>
      </c>
      <c r="H9">
        <v>1</v>
      </c>
      <c r="I9" s="4">
        <v>29.08420533</v>
      </c>
      <c r="J9" s="4">
        <v>29.08420533</v>
      </c>
      <c r="K9" t="s">
        <v>34</v>
      </c>
      <c r="L9" t="s">
        <v>19</v>
      </c>
      <c r="M9" t="s">
        <v>15</v>
      </c>
      <c r="N9" t="s">
        <v>20</v>
      </c>
      <c r="O9" t="s">
        <v>33</v>
      </c>
      <c r="P9">
        <v>53.68</v>
      </c>
      <c r="Q9">
        <v>-1.49</v>
      </c>
    </row>
    <row r="10" spans="1:17" x14ac:dyDescent="0.25">
      <c r="A10" s="2">
        <v>44356</v>
      </c>
      <c r="B10" t="str">
        <f t="shared" si="0"/>
        <v>Wednesday</v>
      </c>
      <c r="C10" t="str">
        <f t="shared" si="1"/>
        <v>June</v>
      </c>
      <c r="D10" t="str">
        <f t="shared" si="2"/>
        <v>2021</v>
      </c>
      <c r="E10">
        <f t="shared" si="3"/>
        <v>24</v>
      </c>
      <c r="F10">
        <v>47</v>
      </c>
      <c r="G10">
        <v>260</v>
      </c>
      <c r="H10">
        <v>3</v>
      </c>
      <c r="I10" s="4">
        <v>44.498077340000002</v>
      </c>
      <c r="J10" s="4">
        <v>133.49423200000001</v>
      </c>
      <c r="K10" t="s">
        <v>35</v>
      </c>
      <c r="L10" t="s">
        <v>26</v>
      </c>
      <c r="M10" t="s">
        <v>15</v>
      </c>
      <c r="N10" t="s">
        <v>20</v>
      </c>
      <c r="O10" t="s">
        <v>33</v>
      </c>
      <c r="P10">
        <v>53.68</v>
      </c>
      <c r="Q10">
        <v>-1.49</v>
      </c>
    </row>
    <row r="11" spans="1:17" x14ac:dyDescent="0.25">
      <c r="A11" s="2">
        <v>44357</v>
      </c>
      <c r="B11" t="str">
        <f t="shared" si="0"/>
        <v>Thursday</v>
      </c>
      <c r="C11" t="str">
        <f t="shared" si="1"/>
        <v>June</v>
      </c>
      <c r="D11" t="str">
        <f t="shared" si="2"/>
        <v>2021</v>
      </c>
      <c r="E11">
        <f t="shared" si="3"/>
        <v>24</v>
      </c>
      <c r="F11">
        <v>24</v>
      </c>
      <c r="G11">
        <v>263</v>
      </c>
      <c r="H11">
        <v>3</v>
      </c>
      <c r="I11" s="4">
        <v>38.497396850000001</v>
      </c>
      <c r="J11" s="4">
        <v>115.49219050000001</v>
      </c>
      <c r="K11" t="s">
        <v>36</v>
      </c>
      <c r="L11" t="s">
        <v>26</v>
      </c>
      <c r="M11" t="s">
        <v>15</v>
      </c>
      <c r="N11" t="s">
        <v>37</v>
      </c>
      <c r="O11" t="s">
        <v>24</v>
      </c>
      <c r="P11">
        <v>51.063201999999997</v>
      </c>
      <c r="Q11">
        <v>-1.3080000000000001</v>
      </c>
    </row>
    <row r="12" spans="1:17" x14ac:dyDescent="0.25">
      <c r="A12" s="2">
        <v>44358</v>
      </c>
      <c r="B12" t="str">
        <f t="shared" si="0"/>
        <v>Friday</v>
      </c>
      <c r="C12" t="str">
        <f t="shared" si="1"/>
        <v>June</v>
      </c>
      <c r="D12" t="str">
        <f t="shared" si="2"/>
        <v>2021</v>
      </c>
      <c r="E12">
        <f t="shared" si="3"/>
        <v>24</v>
      </c>
      <c r="F12">
        <v>10</v>
      </c>
      <c r="G12">
        <v>265</v>
      </c>
      <c r="H12">
        <v>4</v>
      </c>
      <c r="I12" s="4">
        <v>27.048956010000001</v>
      </c>
      <c r="J12" s="4">
        <v>108.195824</v>
      </c>
      <c r="K12" t="s">
        <v>36</v>
      </c>
      <c r="L12" t="s">
        <v>19</v>
      </c>
      <c r="M12" t="s">
        <v>15</v>
      </c>
      <c r="N12" t="s">
        <v>37</v>
      </c>
      <c r="O12" t="s">
        <v>33</v>
      </c>
      <c r="P12">
        <v>53.68</v>
      </c>
      <c r="Q12">
        <v>-1.49</v>
      </c>
    </row>
    <row r="13" spans="1:17" x14ac:dyDescent="0.25">
      <c r="A13" s="2">
        <v>44359</v>
      </c>
      <c r="B13" t="str">
        <f t="shared" si="0"/>
        <v>Saturday</v>
      </c>
      <c r="C13" t="str">
        <f t="shared" si="1"/>
        <v>June</v>
      </c>
      <c r="D13" t="str">
        <f t="shared" si="2"/>
        <v>2021</v>
      </c>
      <c r="E13">
        <f t="shared" si="3"/>
        <v>24</v>
      </c>
      <c r="F13">
        <v>45</v>
      </c>
      <c r="G13">
        <v>260</v>
      </c>
      <c r="H13">
        <v>3</v>
      </c>
      <c r="I13" s="4">
        <v>28.540899240000002</v>
      </c>
      <c r="J13" s="4">
        <v>85.622697709999997</v>
      </c>
      <c r="K13" t="s">
        <v>34</v>
      </c>
      <c r="L13" t="s">
        <v>19</v>
      </c>
      <c r="M13" t="s">
        <v>15</v>
      </c>
      <c r="N13" t="s">
        <v>20</v>
      </c>
      <c r="O13" t="s">
        <v>33</v>
      </c>
      <c r="P13">
        <v>53.68</v>
      </c>
      <c r="Q13">
        <v>-1.49</v>
      </c>
    </row>
    <row r="14" spans="1:17" x14ac:dyDescent="0.25">
      <c r="A14" s="2">
        <v>44360</v>
      </c>
      <c r="B14" t="str">
        <f t="shared" si="0"/>
        <v>Sunday</v>
      </c>
      <c r="C14" t="str">
        <f t="shared" si="1"/>
        <v>June</v>
      </c>
      <c r="D14" t="str">
        <f t="shared" si="2"/>
        <v>2021</v>
      </c>
      <c r="E14">
        <f t="shared" si="3"/>
        <v>25</v>
      </c>
      <c r="F14">
        <v>55</v>
      </c>
      <c r="G14">
        <v>260</v>
      </c>
      <c r="H14">
        <v>1</v>
      </c>
      <c r="I14" s="4">
        <v>34.742913209999998</v>
      </c>
      <c r="J14" s="4">
        <v>34.742913209999998</v>
      </c>
      <c r="K14" t="s">
        <v>36</v>
      </c>
      <c r="L14" t="s">
        <v>19</v>
      </c>
      <c r="M14" t="s">
        <v>15</v>
      </c>
      <c r="N14" t="s">
        <v>20</v>
      </c>
      <c r="O14" t="s">
        <v>17</v>
      </c>
      <c r="P14">
        <v>53.958331999999999</v>
      </c>
      <c r="Q14">
        <v>-1.0802780000000001</v>
      </c>
    </row>
    <row r="15" spans="1:17" x14ac:dyDescent="0.25">
      <c r="A15" s="2">
        <v>44361</v>
      </c>
      <c r="B15" t="str">
        <f t="shared" si="0"/>
        <v>Monday</v>
      </c>
      <c r="C15" t="str">
        <f t="shared" si="1"/>
        <v>June</v>
      </c>
      <c r="D15" t="str">
        <f t="shared" si="2"/>
        <v>2021</v>
      </c>
      <c r="E15">
        <f t="shared" si="3"/>
        <v>25</v>
      </c>
      <c r="F15">
        <v>44</v>
      </c>
      <c r="G15">
        <v>286</v>
      </c>
      <c r="H15">
        <v>3</v>
      </c>
      <c r="I15" s="4">
        <v>27.028571150000001</v>
      </c>
      <c r="J15" s="4">
        <v>81.085713440000006</v>
      </c>
      <c r="K15" t="s">
        <v>38</v>
      </c>
      <c r="L15" t="s">
        <v>26</v>
      </c>
      <c r="M15" t="s">
        <v>15</v>
      </c>
      <c r="N15" t="s">
        <v>39</v>
      </c>
      <c r="O15" t="s">
        <v>31</v>
      </c>
      <c r="P15">
        <v>51.209000000000003</v>
      </c>
      <c r="Q15">
        <v>-2.6469999999999998</v>
      </c>
    </row>
    <row r="16" spans="1:17" x14ac:dyDescent="0.25">
      <c r="A16" s="2">
        <v>44362</v>
      </c>
      <c r="B16" t="str">
        <f t="shared" si="0"/>
        <v>Tuesday</v>
      </c>
      <c r="C16" t="str">
        <f t="shared" si="1"/>
        <v>June</v>
      </c>
      <c r="D16" t="str">
        <f t="shared" si="2"/>
        <v>2021</v>
      </c>
      <c r="E16">
        <f t="shared" si="3"/>
        <v>25</v>
      </c>
      <c r="F16">
        <v>97</v>
      </c>
      <c r="G16">
        <v>291</v>
      </c>
      <c r="H16">
        <v>1</v>
      </c>
      <c r="I16" s="4">
        <v>34.79245255</v>
      </c>
      <c r="J16" s="4">
        <v>34.79245255</v>
      </c>
      <c r="K16" t="s">
        <v>38</v>
      </c>
      <c r="L16" t="s">
        <v>19</v>
      </c>
      <c r="M16" t="s">
        <v>15</v>
      </c>
      <c r="N16" t="s">
        <v>39</v>
      </c>
      <c r="O16" t="s">
        <v>31</v>
      </c>
      <c r="P16">
        <v>51.209000000000003</v>
      </c>
      <c r="Q16">
        <v>-2.6469999999999998</v>
      </c>
    </row>
    <row r="17" spans="1:17" x14ac:dyDescent="0.25">
      <c r="A17" s="2">
        <v>44363</v>
      </c>
      <c r="B17" t="str">
        <f t="shared" si="0"/>
        <v>Wednesday</v>
      </c>
      <c r="C17" t="str">
        <f t="shared" si="1"/>
        <v>June</v>
      </c>
      <c r="D17" t="str">
        <f t="shared" si="2"/>
        <v>2021</v>
      </c>
      <c r="E17">
        <f t="shared" si="3"/>
        <v>25</v>
      </c>
      <c r="F17">
        <v>31</v>
      </c>
      <c r="G17">
        <v>265</v>
      </c>
      <c r="H17">
        <v>4</v>
      </c>
      <c r="I17" s="4">
        <v>43.871536999999996</v>
      </c>
      <c r="J17" s="4">
        <v>175.48614799999999</v>
      </c>
      <c r="K17" t="s">
        <v>40</v>
      </c>
      <c r="L17" t="s">
        <v>19</v>
      </c>
      <c r="M17" t="s">
        <v>15</v>
      </c>
      <c r="N17" t="s">
        <v>37</v>
      </c>
      <c r="O17" t="s">
        <v>33</v>
      </c>
      <c r="P17">
        <v>53.68</v>
      </c>
      <c r="Q17">
        <v>-1.49</v>
      </c>
    </row>
    <row r="18" spans="1:17" x14ac:dyDescent="0.25">
      <c r="A18" s="2">
        <v>44364</v>
      </c>
      <c r="B18" t="str">
        <f t="shared" si="0"/>
        <v>Thursday</v>
      </c>
      <c r="C18" t="str">
        <f t="shared" si="1"/>
        <v>June</v>
      </c>
      <c r="D18" t="str">
        <f t="shared" si="2"/>
        <v>2021</v>
      </c>
      <c r="E18">
        <f t="shared" si="3"/>
        <v>25</v>
      </c>
      <c r="F18">
        <v>47</v>
      </c>
      <c r="G18">
        <v>274</v>
      </c>
      <c r="H18">
        <v>1</v>
      </c>
      <c r="I18" s="4">
        <v>51.96824385</v>
      </c>
      <c r="J18" s="4">
        <v>51.96824385</v>
      </c>
      <c r="K18" t="s">
        <v>41</v>
      </c>
      <c r="L18" t="s">
        <v>26</v>
      </c>
      <c r="M18" t="s">
        <v>15</v>
      </c>
      <c r="N18" t="s">
        <v>42</v>
      </c>
      <c r="O18" t="s">
        <v>33</v>
      </c>
      <c r="P18">
        <v>53.68</v>
      </c>
      <c r="Q18">
        <v>-1.49</v>
      </c>
    </row>
    <row r="19" spans="1:17" x14ac:dyDescent="0.25">
      <c r="A19" s="2">
        <v>44365</v>
      </c>
      <c r="B19" t="str">
        <f t="shared" si="0"/>
        <v>Friday</v>
      </c>
      <c r="C19" t="str">
        <f t="shared" si="1"/>
        <v>June</v>
      </c>
      <c r="D19" t="str">
        <f t="shared" si="2"/>
        <v>2021</v>
      </c>
      <c r="E19">
        <f t="shared" si="3"/>
        <v>25</v>
      </c>
      <c r="F19">
        <v>47</v>
      </c>
      <c r="G19">
        <v>276</v>
      </c>
      <c r="H19">
        <v>4</v>
      </c>
      <c r="I19" s="4">
        <v>33.931774840000003</v>
      </c>
      <c r="J19" s="4">
        <v>135.72709939999999</v>
      </c>
      <c r="K19" t="s">
        <v>25</v>
      </c>
      <c r="L19" t="s">
        <v>26</v>
      </c>
      <c r="M19" t="s">
        <v>15</v>
      </c>
      <c r="N19" t="s">
        <v>20</v>
      </c>
      <c r="O19" t="s">
        <v>33</v>
      </c>
      <c r="P19">
        <v>53.68</v>
      </c>
      <c r="Q19">
        <v>-1.49</v>
      </c>
    </row>
    <row r="20" spans="1:17" x14ac:dyDescent="0.25">
      <c r="A20" s="2">
        <v>44366</v>
      </c>
      <c r="B20" t="str">
        <f t="shared" si="0"/>
        <v>Saturday</v>
      </c>
      <c r="C20" t="str">
        <f t="shared" si="1"/>
        <v>June</v>
      </c>
      <c r="D20" t="str">
        <f t="shared" si="2"/>
        <v>2021</v>
      </c>
      <c r="E20">
        <f t="shared" si="3"/>
        <v>25</v>
      </c>
      <c r="F20">
        <v>98</v>
      </c>
      <c r="G20">
        <v>280</v>
      </c>
      <c r="H20">
        <v>3</v>
      </c>
      <c r="I20" s="4">
        <v>41.412504339999998</v>
      </c>
      <c r="J20" s="4">
        <v>124.23751300000001</v>
      </c>
      <c r="K20" t="s">
        <v>43</v>
      </c>
      <c r="L20" t="s">
        <v>26</v>
      </c>
      <c r="M20" t="s">
        <v>23</v>
      </c>
      <c r="N20" t="s">
        <v>20</v>
      </c>
      <c r="O20" t="s">
        <v>17</v>
      </c>
      <c r="P20">
        <v>53.958331999999999</v>
      </c>
      <c r="Q20">
        <v>-1.0802780000000001</v>
      </c>
    </row>
    <row r="21" spans="1:17" x14ac:dyDescent="0.25">
      <c r="A21" s="2">
        <v>44367</v>
      </c>
      <c r="B21" t="str">
        <f t="shared" si="0"/>
        <v>Sunday</v>
      </c>
      <c r="C21" t="str">
        <f t="shared" si="1"/>
        <v>June</v>
      </c>
      <c r="D21" t="str">
        <f t="shared" si="2"/>
        <v>2021</v>
      </c>
      <c r="E21">
        <f t="shared" si="3"/>
        <v>26</v>
      </c>
      <c r="F21">
        <v>34</v>
      </c>
      <c r="G21">
        <v>273</v>
      </c>
      <c r="H21">
        <v>1</v>
      </c>
      <c r="I21" s="4">
        <v>38.516218010000003</v>
      </c>
      <c r="J21" s="4">
        <v>38.516218010000003</v>
      </c>
      <c r="K21" t="s">
        <v>43</v>
      </c>
      <c r="L21" t="s">
        <v>26</v>
      </c>
      <c r="M21" t="s">
        <v>23</v>
      </c>
      <c r="N21" t="s">
        <v>20</v>
      </c>
      <c r="O21" t="s">
        <v>33</v>
      </c>
      <c r="P21">
        <v>53.68</v>
      </c>
      <c r="Q21">
        <v>-1.49</v>
      </c>
    </row>
    <row r="22" spans="1:17" x14ac:dyDescent="0.25">
      <c r="A22" s="2">
        <v>44368</v>
      </c>
      <c r="B22" t="str">
        <f t="shared" si="0"/>
        <v>Monday</v>
      </c>
      <c r="C22" t="str">
        <f t="shared" si="1"/>
        <v>June</v>
      </c>
      <c r="D22" t="str">
        <f t="shared" si="2"/>
        <v>2021</v>
      </c>
      <c r="E22">
        <f t="shared" si="3"/>
        <v>26</v>
      </c>
      <c r="F22">
        <v>90</v>
      </c>
      <c r="G22">
        <v>336</v>
      </c>
      <c r="H22">
        <v>1</v>
      </c>
      <c r="I22" s="4">
        <v>21.965811769999998</v>
      </c>
      <c r="J22" s="4">
        <v>21.965811769999998</v>
      </c>
      <c r="K22" t="s">
        <v>44</v>
      </c>
      <c r="L22" t="s">
        <v>14</v>
      </c>
      <c r="M22" t="s">
        <v>45</v>
      </c>
      <c r="N22" t="s">
        <v>30</v>
      </c>
      <c r="O22" t="s">
        <v>46</v>
      </c>
      <c r="P22">
        <v>50.259998000000003</v>
      </c>
      <c r="Q22">
        <v>-5.0510000000000002</v>
      </c>
    </row>
    <row r="23" spans="1:17" x14ac:dyDescent="0.25">
      <c r="A23" s="2">
        <v>44369</v>
      </c>
      <c r="B23" t="str">
        <f t="shared" si="0"/>
        <v>Tuesday</v>
      </c>
      <c r="C23" t="str">
        <f t="shared" si="1"/>
        <v>June</v>
      </c>
      <c r="D23" t="str">
        <f t="shared" si="2"/>
        <v>2021</v>
      </c>
      <c r="E23">
        <f t="shared" si="3"/>
        <v>26</v>
      </c>
      <c r="F23">
        <v>12</v>
      </c>
      <c r="G23">
        <v>293</v>
      </c>
      <c r="H23">
        <v>2</v>
      </c>
      <c r="I23" s="4">
        <v>38.718839539999998</v>
      </c>
      <c r="J23" s="4">
        <v>77.437679079999995</v>
      </c>
      <c r="K23" t="s">
        <v>47</v>
      </c>
      <c r="L23" t="s">
        <v>26</v>
      </c>
      <c r="M23" t="s">
        <v>15</v>
      </c>
      <c r="N23" t="s">
        <v>42</v>
      </c>
      <c r="O23" t="s">
        <v>46</v>
      </c>
      <c r="P23">
        <v>50.259998000000003</v>
      </c>
      <c r="Q23">
        <v>-5.0510000000000002</v>
      </c>
    </row>
    <row r="24" spans="1:17" x14ac:dyDescent="0.25">
      <c r="A24" s="2">
        <v>44370</v>
      </c>
      <c r="B24" t="str">
        <f t="shared" si="0"/>
        <v>Wednesday</v>
      </c>
      <c r="C24" t="str">
        <f t="shared" si="1"/>
        <v>June</v>
      </c>
      <c r="D24" t="str">
        <f t="shared" si="2"/>
        <v>2021</v>
      </c>
      <c r="E24">
        <f t="shared" si="3"/>
        <v>26</v>
      </c>
      <c r="F24">
        <v>9</v>
      </c>
      <c r="G24">
        <v>285</v>
      </c>
      <c r="H24">
        <v>3</v>
      </c>
      <c r="I24" s="4">
        <v>36.190458370000002</v>
      </c>
      <c r="J24" s="4">
        <v>108.5713751</v>
      </c>
      <c r="K24" t="s">
        <v>48</v>
      </c>
      <c r="L24" t="s">
        <v>26</v>
      </c>
      <c r="M24" t="s">
        <v>15</v>
      </c>
      <c r="N24" t="s">
        <v>20</v>
      </c>
      <c r="O24" t="s">
        <v>46</v>
      </c>
      <c r="P24">
        <v>50.259998000000003</v>
      </c>
      <c r="Q24">
        <v>-5.0510000000000002</v>
      </c>
    </row>
    <row r="25" spans="1:17" x14ac:dyDescent="0.25">
      <c r="A25" s="2">
        <v>44371</v>
      </c>
      <c r="B25" t="str">
        <f t="shared" si="0"/>
        <v>Thursday</v>
      </c>
      <c r="C25" t="str">
        <f t="shared" si="1"/>
        <v>June</v>
      </c>
      <c r="D25" t="str">
        <f t="shared" si="2"/>
        <v>2021</v>
      </c>
      <c r="E25">
        <f t="shared" si="3"/>
        <v>26</v>
      </c>
      <c r="F25">
        <v>66</v>
      </c>
      <c r="G25">
        <v>276</v>
      </c>
      <c r="H25">
        <v>1</v>
      </c>
      <c r="I25" s="4">
        <v>54.994304960000001</v>
      </c>
      <c r="J25" s="4">
        <v>54.994304960000001</v>
      </c>
      <c r="K25" t="s">
        <v>49</v>
      </c>
      <c r="L25" t="s">
        <v>26</v>
      </c>
      <c r="M25" t="s">
        <v>15</v>
      </c>
      <c r="N25" t="s">
        <v>20</v>
      </c>
      <c r="O25" t="s">
        <v>24</v>
      </c>
      <c r="P25">
        <v>51.063201999999997</v>
      </c>
      <c r="Q25">
        <v>-1.3080000000000001</v>
      </c>
    </row>
    <row r="26" spans="1:17" x14ac:dyDescent="0.25">
      <c r="A26" s="2">
        <v>44372</v>
      </c>
      <c r="B26" t="str">
        <f t="shared" si="0"/>
        <v>Friday</v>
      </c>
      <c r="C26" t="str">
        <f t="shared" si="1"/>
        <v>June</v>
      </c>
      <c r="D26" t="str">
        <f t="shared" si="2"/>
        <v>2021</v>
      </c>
      <c r="E26">
        <f t="shared" si="3"/>
        <v>26</v>
      </c>
      <c r="F26">
        <v>89</v>
      </c>
      <c r="G26">
        <v>277</v>
      </c>
      <c r="H26">
        <v>2</v>
      </c>
      <c r="I26" s="4">
        <v>50.795957340000001</v>
      </c>
      <c r="J26" s="4">
        <v>101.5919147</v>
      </c>
      <c r="K26" t="s">
        <v>50</v>
      </c>
      <c r="L26" t="s">
        <v>26</v>
      </c>
      <c r="M26" t="s">
        <v>15</v>
      </c>
      <c r="N26" t="s">
        <v>20</v>
      </c>
      <c r="O26" t="s">
        <v>46</v>
      </c>
      <c r="P26">
        <v>50.259998000000003</v>
      </c>
      <c r="Q26">
        <v>-5.0510000000000002</v>
      </c>
    </row>
    <row r="27" spans="1:17" x14ac:dyDescent="0.25">
      <c r="A27" s="2">
        <v>44373</v>
      </c>
      <c r="B27" t="str">
        <f t="shared" si="0"/>
        <v>Saturday</v>
      </c>
      <c r="C27" t="str">
        <f t="shared" si="1"/>
        <v>June</v>
      </c>
      <c r="D27" t="str">
        <f t="shared" si="2"/>
        <v>2021</v>
      </c>
      <c r="E27">
        <f t="shared" si="3"/>
        <v>26</v>
      </c>
      <c r="F27">
        <v>32</v>
      </c>
      <c r="G27">
        <v>278</v>
      </c>
      <c r="H27">
        <v>2</v>
      </c>
      <c r="I27" s="4">
        <v>47.433316439999999</v>
      </c>
      <c r="J27" s="4">
        <v>94.866632879999997</v>
      </c>
      <c r="K27" t="s">
        <v>50</v>
      </c>
      <c r="L27" t="s">
        <v>19</v>
      </c>
      <c r="M27" t="s">
        <v>15</v>
      </c>
      <c r="N27" t="s">
        <v>20</v>
      </c>
      <c r="O27" t="s">
        <v>46</v>
      </c>
      <c r="P27">
        <v>50.259998000000003</v>
      </c>
      <c r="Q27">
        <v>-5.0510000000000002</v>
      </c>
    </row>
    <row r="28" spans="1:17" x14ac:dyDescent="0.25">
      <c r="A28" s="2">
        <v>44374</v>
      </c>
      <c r="B28" t="str">
        <f t="shared" si="0"/>
        <v>Sunday</v>
      </c>
      <c r="C28" t="str">
        <f t="shared" si="1"/>
        <v>June</v>
      </c>
      <c r="D28" t="str">
        <f t="shared" si="2"/>
        <v>2021</v>
      </c>
      <c r="E28">
        <f t="shared" si="3"/>
        <v>27</v>
      </c>
      <c r="F28">
        <v>15</v>
      </c>
      <c r="G28">
        <v>288</v>
      </c>
      <c r="H28">
        <v>1</v>
      </c>
      <c r="I28" s="4">
        <v>50.002619029999998</v>
      </c>
      <c r="J28" s="4">
        <v>50.002619029999998</v>
      </c>
      <c r="K28" t="s">
        <v>43</v>
      </c>
      <c r="L28" t="s">
        <v>19</v>
      </c>
      <c r="M28" t="s">
        <v>23</v>
      </c>
      <c r="N28" t="s">
        <v>30</v>
      </c>
      <c r="O28" t="s">
        <v>21</v>
      </c>
      <c r="P28">
        <v>52.192000999999998</v>
      </c>
      <c r="Q28">
        <v>-2.2200000000000002</v>
      </c>
    </row>
    <row r="29" spans="1:17" x14ac:dyDescent="0.25">
      <c r="A29" s="2">
        <v>44375</v>
      </c>
      <c r="B29" t="str">
        <f t="shared" si="0"/>
        <v>Monday</v>
      </c>
      <c r="C29" t="str">
        <f t="shared" si="1"/>
        <v>June</v>
      </c>
      <c r="D29" t="str">
        <f t="shared" si="2"/>
        <v>2021</v>
      </c>
      <c r="E29">
        <f t="shared" si="3"/>
        <v>27</v>
      </c>
      <c r="F29">
        <v>56</v>
      </c>
      <c r="G29">
        <v>262</v>
      </c>
      <c r="H29">
        <v>1</v>
      </c>
      <c r="I29" s="4">
        <v>33.470935859999997</v>
      </c>
      <c r="J29" s="4">
        <v>33.470935859999997</v>
      </c>
      <c r="K29" t="s">
        <v>36</v>
      </c>
      <c r="L29" t="s">
        <v>19</v>
      </c>
      <c r="M29" t="s">
        <v>15</v>
      </c>
      <c r="N29" t="s">
        <v>37</v>
      </c>
      <c r="O29" t="s">
        <v>17</v>
      </c>
      <c r="P29">
        <v>53.958331999999999</v>
      </c>
      <c r="Q29">
        <v>-1.0802780000000001</v>
      </c>
    </row>
    <row r="30" spans="1:17" x14ac:dyDescent="0.25">
      <c r="A30" s="2">
        <v>44376</v>
      </c>
      <c r="B30" t="str">
        <f t="shared" si="0"/>
        <v>Tuesday</v>
      </c>
      <c r="C30" t="str">
        <f t="shared" si="1"/>
        <v>June</v>
      </c>
      <c r="D30" t="str">
        <f t="shared" si="2"/>
        <v>2021</v>
      </c>
      <c r="E30">
        <f t="shared" si="3"/>
        <v>27</v>
      </c>
      <c r="F30">
        <v>13</v>
      </c>
      <c r="G30">
        <v>286</v>
      </c>
      <c r="H30">
        <v>1</v>
      </c>
      <c r="I30" s="4">
        <v>32.745506630000001</v>
      </c>
      <c r="J30" s="4">
        <v>32.745506630000001</v>
      </c>
      <c r="K30" t="s">
        <v>38</v>
      </c>
      <c r="L30" t="s">
        <v>26</v>
      </c>
      <c r="M30" t="s">
        <v>15</v>
      </c>
      <c r="N30" t="s">
        <v>39</v>
      </c>
      <c r="O30" t="s">
        <v>31</v>
      </c>
      <c r="P30">
        <v>51.209000000000003</v>
      </c>
      <c r="Q30">
        <v>-2.6469999999999998</v>
      </c>
    </row>
    <row r="31" spans="1:17" x14ac:dyDescent="0.25">
      <c r="A31" s="2">
        <v>44377</v>
      </c>
      <c r="B31" t="str">
        <f t="shared" si="0"/>
        <v>Wednesday</v>
      </c>
      <c r="C31" t="str">
        <f t="shared" si="1"/>
        <v>June</v>
      </c>
      <c r="D31" t="str">
        <f t="shared" si="2"/>
        <v>2021</v>
      </c>
      <c r="E31">
        <f t="shared" si="3"/>
        <v>27</v>
      </c>
      <c r="F31">
        <v>91</v>
      </c>
      <c r="G31">
        <v>291</v>
      </c>
      <c r="H31">
        <v>1</v>
      </c>
      <c r="I31" s="4">
        <v>31.879106759999999</v>
      </c>
      <c r="J31" s="4">
        <v>31.879106759999999</v>
      </c>
      <c r="K31" t="s">
        <v>38</v>
      </c>
      <c r="L31" t="s">
        <v>19</v>
      </c>
      <c r="M31" t="s">
        <v>15</v>
      </c>
      <c r="N31" t="s">
        <v>39</v>
      </c>
      <c r="O31" t="s">
        <v>31</v>
      </c>
      <c r="P31">
        <v>51.209000000000003</v>
      </c>
      <c r="Q31">
        <v>-2.6469999999999998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Dashboard</vt:lpstr>
      <vt:lpstr>Sales_Product_Details_Table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Eniola</dc:creator>
  <cp:lastModifiedBy>Habeebat Aroyeun</cp:lastModifiedBy>
  <cp:lastPrinted>2026-03-25T17:49:47Z</cp:lastPrinted>
  <dcterms:created xsi:type="dcterms:W3CDTF">2024-12-30T09:41:23Z</dcterms:created>
  <dcterms:modified xsi:type="dcterms:W3CDTF">2026-03-25T17:49:50Z</dcterms:modified>
</cp:coreProperties>
</file>