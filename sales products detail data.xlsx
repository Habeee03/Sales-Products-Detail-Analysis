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iola\OneDrive\Desktop\Excel datasets\"/>
    </mc:Choice>
  </mc:AlternateContent>
  <xr:revisionPtr revIDLastSave="0" documentId="13_ncr:1_{F8154A75-549C-44BA-90AE-79AA603DDFE8}" xr6:coauthVersionLast="47" xr6:coauthVersionMax="47" xr10:uidLastSave="{00000000-0000-0000-0000-000000000000}"/>
  <bookViews>
    <workbookView xWindow="-120" yWindow="-120" windowWidth="24240" windowHeight="13020" xr2:uid="{756AC763-40DC-45B8-813D-EE8C3D90D679}"/>
  </bookViews>
  <sheets>
    <sheet name="Sales_Product_Detail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<sst xmlns="http://schemas.openxmlformats.org/spreadsheetml/2006/main" count="167" uniqueCount="55">
  <si>
    <t>Date</t>
  </si>
  <si>
    <t>Customer_ID</t>
  </si>
  <si>
    <t>Product_ID</t>
  </si>
  <si>
    <t>Quantity</t>
  </si>
  <si>
    <t>Unit_Price</t>
  </si>
  <si>
    <t>Sales_Revenue</t>
  </si>
  <si>
    <t>Product_Description</t>
  </si>
  <si>
    <t>Product_Category</t>
  </si>
  <si>
    <t>Product_Line</t>
  </si>
  <si>
    <t>Raw_Material</t>
  </si>
  <si>
    <t>Region</t>
  </si>
  <si>
    <t>Latitude</t>
  </si>
  <si>
    <t>Longitude</t>
  </si>
  <si>
    <t>Cycling Jerseys</t>
  </si>
  <si>
    <t>Sports</t>
  </si>
  <si>
    <t>Tops</t>
  </si>
  <si>
    <t>Fabrics</t>
  </si>
  <si>
    <t>York</t>
  </si>
  <si>
    <t>Casual Shirts</t>
  </si>
  <si>
    <t>Menswear</t>
  </si>
  <si>
    <t>Cotton</t>
  </si>
  <si>
    <t>Worcester</t>
  </si>
  <si>
    <t>Jeans</t>
  </si>
  <si>
    <t>Trousers</t>
  </si>
  <si>
    <t>Winchester</t>
  </si>
  <si>
    <t>Shorts</t>
  </si>
  <si>
    <t>Womenswear</t>
  </si>
  <si>
    <t>Belts</t>
  </si>
  <si>
    <t>Accessories</t>
  </si>
  <si>
    <t>Leathers</t>
  </si>
  <si>
    <t>Leather</t>
  </si>
  <si>
    <t>Wells</t>
  </si>
  <si>
    <t>Ties</t>
  </si>
  <si>
    <t>Wakefield</t>
  </si>
  <si>
    <t>Polo Shirts</t>
  </si>
  <si>
    <t>Tshirts</t>
  </si>
  <si>
    <t>Formal Shirts</t>
  </si>
  <si>
    <t>Wool</t>
  </si>
  <si>
    <t>Knitwear</t>
  </si>
  <si>
    <t>Cashmere</t>
  </si>
  <si>
    <t>Suits</t>
  </si>
  <si>
    <t>Sweats</t>
  </si>
  <si>
    <t>Polyester</t>
  </si>
  <si>
    <t>Pants</t>
  </si>
  <si>
    <t>GolfShoes</t>
  </si>
  <si>
    <t>Shoes</t>
  </si>
  <si>
    <t>Truro</t>
  </si>
  <si>
    <t>Dress</t>
  </si>
  <si>
    <t>Coats</t>
  </si>
  <si>
    <t>Underwear</t>
  </si>
  <si>
    <t>Pyjamas</t>
  </si>
  <si>
    <t>Day</t>
  </si>
  <si>
    <t>Month</t>
  </si>
  <si>
    <t>Year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</si>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</sst>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0" fillId="0" borderId="0" xfId="0" applyNumberFormat="1"/>
    <xf numFmtId="164" fontId="18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$&quot;#,##0.00"/>
    </dxf>
    <dxf>
      <numFmt numFmtId="164" formatCode="&quot;$&quot;#,##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</dxf>
  </dxfs>
  <tableStyles count="1" defaultTableStyle="TableStyleMedium2" defaultPivotStyle="PivotStyleLight16">
    <tableStyle name="Slicer Style 1" pivot="0" table="0" count="0" xr9:uid="{0E96A14D-86A7-4772-B85E-7BD83165E774}"/>
  </tableStyles>
  <colors>
    <mruColors>
      <color rgb="FFED97A9"/>
      <color rgb="FFFF0066"/>
      <color rgb="FF2D911F"/>
      <color rgb="FF27652D"/>
      <color rgb="FF1A6A5B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CC3AD-6693-4BA5-A6A3-20A6B82032D1}" name="Table1" displayName="Table1" ref="A1:Q31" totalsRowShown="0" headerRowDxfId="3">
  <autoFilter ref="A1:Q31" xr:uid="{DE9CC3AD-6693-4BA5-A6A3-20A6B82032D1}"/>
  <tableColumns count="17">
    <tableColumn id="1" xr3:uid="{F20B0002-4AF0-4D99-B7BF-6AEFC145533F}" name="Date" dataDxfId="2"/>
    <tableColumn id="2" xr3:uid="{33DF40BE-C643-4754-9030-1B29B1A6346C}" name="Day">
      <calculatedColumnFormula>TEXT(A2, "DDDD")</calculatedColumnFormula>
    </tableColumn>
    <tableColumn id="3" xr3:uid="{F202BCBA-76CF-4CCD-AD35-9DE02459D3BB}" name="Month">
      <calculatedColumnFormula>TEXT(A2,"MMMM")</calculatedColumnFormula>
    </tableColumn>
    <tableColumn id="4" xr3:uid="{93FB44D7-813F-497C-81E2-CCA14EAEC3DC}" name="Year">
      <calculatedColumnFormula>TEXT(A2, "YYYY")</calculatedColumnFormula>
    </tableColumn>
    <tableColumn id="5" xr3:uid="{142D2A65-B783-4A46-8B4A-9DB27EB9F3AB}" name="Week">
      <calculatedColumnFormula>WEEKNUM(A2)</calculatedColumnFormula>
    </tableColumn>
    <tableColumn id="6" xr3:uid="{D3CD0475-8F6A-4B0F-89C8-AFDDDB729563}" name="Customer_ID"/>
    <tableColumn id="7" xr3:uid="{EF3CB8BC-66C3-4200-A319-B2428F17F2D9}" name="Product_ID"/>
    <tableColumn id="8" xr3:uid="{5FDFC9BE-1908-45A3-B42C-2EC2F6A9BF8C}" name="Quantity"/>
    <tableColumn id="9" xr3:uid="{86FDC874-FF6D-4B2C-8C6A-A1D2C5649FBF}" name="Unit_Price" dataDxfId="1"/>
    <tableColumn id="10" xr3:uid="{2A03466A-B54C-4D50-A689-BBAA6B4E9B3F}" name="Sales_Revenue" dataDxfId="0"/>
    <tableColumn id="11" xr3:uid="{568721CB-D730-4867-A493-1E8F6FCCCD2D}" name="Product_Description"/>
    <tableColumn id="12" xr3:uid="{AC559B36-42AF-4E15-8A55-0CCAD955BEF5}" name="Product_Category"/>
    <tableColumn id="13" xr3:uid="{392EA92B-B3D7-4937-B0F1-F4171D4F041F}" name="Product_Line"/>
    <tableColumn id="14" xr3:uid="{0437252C-5EA5-41BB-9B8B-1394A0701D5D}" name="Raw_Material"/>
    <tableColumn id="15" xr3:uid="{3A88D4C1-D403-47A2-8ED7-CFD6545B682D}" name="Region"/>
    <tableColumn id="16" xr3:uid="{B62230CD-E6C7-4535-9D66-AAB7A63B3F33}" name="Latitude"/>
    <tableColumn id="17" xr3:uid="{9CF08C0D-FB40-4500-B7B1-E21F3E8DDE6E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2FE9-C120-4409-BDDA-8879BC9300F1}">
  <dimension ref="A1:Q31"/>
  <sheetViews>
    <sheetView tabSelected="1" topLeftCell="H1" workbookViewId="0">
      <selection activeCell="K2" sqref="K2"/>
    </sheetView>
  </sheetViews>
  <sheetFormatPr defaultRowHeight="15" x14ac:dyDescent="0.25"/>
  <cols>
    <col min="1" max="1" width="11.85546875" customWidth="1"/>
    <col min="2" max="2" width="12.28515625" customWidth="1"/>
    <col min="3" max="3" width="10.85546875" customWidth="1"/>
    <col min="5" max="5" width="9.7109375" customWidth="1"/>
    <col min="6" max="6" width="18.28515625" customWidth="1"/>
    <col min="7" max="7" width="15.7109375" customWidth="1"/>
    <col min="8" max="8" width="17.85546875" customWidth="1"/>
    <col min="9" max="9" width="17.5703125" style="4" customWidth="1"/>
    <col min="10" max="10" width="20.28515625" style="4" customWidth="1"/>
    <col min="11" max="11" width="26.42578125" customWidth="1"/>
    <col min="12" max="12" width="23.42578125" customWidth="1"/>
    <col min="13" max="13" width="20.140625" customWidth="1"/>
    <col min="14" max="14" width="20.5703125" customWidth="1"/>
    <col min="15" max="15" width="11" customWidth="1"/>
    <col min="16" max="17" width="14.42578125" customWidth="1"/>
  </cols>
  <sheetData>
    <row r="1" spans="1:17" s="1" customFormat="1" ht="18.75" x14ac:dyDescent="0.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1</v>
      </c>
      <c r="G1" s="1" t="s">
        <v>2</v>
      </c>
      <c r="H1" s="1" t="s">
        <v>3</v>
      </c>
      <c r="I1" s="3" t="s">
        <v>4</v>
      </c>
      <c r="J1" s="3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s="2">
        <v>44348</v>
      </c>
      <c r="B2" t="str">
        <f>TEXT(A2, "DDDD")</f>
        <v>Tuesday</v>
      </c>
      <c r="C2" t="str">
        <f>TEXT(A2,"MMMM")</f>
        <v>June</v>
      </c>
      <c r="D2" t="str">
        <f>TEXT(A2, "YYYY")</f>
        <v>2021</v>
      </c>
      <c r="E2">
        <f>WEEKNUM(A2)</f>
        <v>23</v>
      </c>
      <c r="F2">
        <v>98</v>
      </c>
      <c r="G2">
        <v>321</v>
      </c>
      <c r="H2">
        <v>1</v>
      </c>
      <c r="I2" s="4">
        <v>117.3060162</v>
      </c>
      <c r="J2" s="4">
        <v>117.3060162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>
        <v>53.958331999999999</v>
      </c>
      <c r="Q2">
        <v>-1.0802780000000001</v>
      </c>
    </row>
    <row r="3" spans="1:17" x14ac:dyDescent="0.25">
      <c r="A3" s="2">
        <v>44349</v>
      </c>
      <c r="B3" t="str">
        <f t="shared" ref="B3:B31" si="0">TEXT(A3, "DDDD")</f>
        <v>Wednesday</v>
      </c>
      <c r="C3" t="str">
        <f t="shared" ref="C3:C31" si="1">TEXT(A3,"MMMM")</f>
        <v>June</v>
      </c>
      <c r="D3" t="str">
        <f t="shared" ref="D3:D31" si="2">TEXT(A3, "YYYY")</f>
        <v>2021</v>
      </c>
      <c r="E3">
        <f t="shared" ref="E3:E31" si="3">WEEKNUM(A3)</f>
        <v>23</v>
      </c>
      <c r="F3">
        <v>92</v>
      </c>
      <c r="G3">
        <v>261</v>
      </c>
      <c r="H3">
        <v>4</v>
      </c>
      <c r="I3" s="4">
        <v>32.272403320000002</v>
      </c>
      <c r="J3" s="4">
        <v>129.0896133</v>
      </c>
      <c r="K3" t="s">
        <v>18</v>
      </c>
      <c r="L3" t="s">
        <v>19</v>
      </c>
      <c r="M3" t="s">
        <v>15</v>
      </c>
      <c r="N3" t="s">
        <v>20</v>
      </c>
      <c r="O3" t="s">
        <v>21</v>
      </c>
      <c r="P3">
        <v>52.192000999999998</v>
      </c>
      <c r="Q3">
        <v>-2.2200000000000002</v>
      </c>
    </row>
    <row r="4" spans="1:17" x14ac:dyDescent="0.25">
      <c r="A4" s="2">
        <v>44350</v>
      </c>
      <c r="B4" t="str">
        <f t="shared" si="0"/>
        <v>Thursday</v>
      </c>
      <c r="C4" t="str">
        <f t="shared" si="1"/>
        <v>June</v>
      </c>
      <c r="D4" t="str">
        <f t="shared" si="2"/>
        <v>2021</v>
      </c>
      <c r="E4">
        <f t="shared" si="3"/>
        <v>23</v>
      </c>
      <c r="F4">
        <v>92</v>
      </c>
      <c r="G4">
        <v>264</v>
      </c>
      <c r="H4">
        <v>1</v>
      </c>
      <c r="I4" s="4">
        <v>36.193364039999999</v>
      </c>
      <c r="J4" s="4">
        <v>36.193364039999999</v>
      </c>
      <c r="K4" t="s">
        <v>18</v>
      </c>
      <c r="L4" t="s">
        <v>19</v>
      </c>
      <c r="M4" t="s">
        <v>15</v>
      </c>
      <c r="N4" t="s">
        <v>20</v>
      </c>
      <c r="O4" t="s">
        <v>21</v>
      </c>
      <c r="P4">
        <v>52.192000999999998</v>
      </c>
      <c r="Q4">
        <v>-2.2200000000000002</v>
      </c>
    </row>
    <row r="5" spans="1:17" x14ac:dyDescent="0.25">
      <c r="A5" s="2">
        <v>44351</v>
      </c>
      <c r="B5" t="str">
        <f t="shared" si="0"/>
        <v>Friday</v>
      </c>
      <c r="C5" t="str">
        <f t="shared" si="1"/>
        <v>June</v>
      </c>
      <c r="D5" t="str">
        <f t="shared" si="2"/>
        <v>2021</v>
      </c>
      <c r="E5">
        <f t="shared" si="3"/>
        <v>23</v>
      </c>
      <c r="F5">
        <v>99</v>
      </c>
      <c r="G5">
        <v>251</v>
      </c>
      <c r="H5">
        <v>3</v>
      </c>
      <c r="I5" s="4">
        <v>29.913403460000001</v>
      </c>
      <c r="J5" s="4">
        <v>89.74021037</v>
      </c>
      <c r="K5" t="s">
        <v>22</v>
      </c>
      <c r="L5" t="s">
        <v>19</v>
      </c>
      <c r="M5" t="s">
        <v>23</v>
      </c>
      <c r="N5" t="s">
        <v>20</v>
      </c>
      <c r="O5" t="s">
        <v>24</v>
      </c>
      <c r="P5">
        <v>51.063201999999997</v>
      </c>
      <c r="Q5">
        <v>-1.3080000000000001</v>
      </c>
    </row>
    <row r="6" spans="1:17" x14ac:dyDescent="0.25">
      <c r="A6" s="2">
        <v>44352</v>
      </c>
      <c r="B6" t="str">
        <f t="shared" si="0"/>
        <v>Saturday</v>
      </c>
      <c r="C6" t="str">
        <f t="shared" si="1"/>
        <v>June</v>
      </c>
      <c r="D6" t="str">
        <f t="shared" si="2"/>
        <v>2021</v>
      </c>
      <c r="E6">
        <f t="shared" si="3"/>
        <v>23</v>
      </c>
      <c r="F6">
        <v>66</v>
      </c>
      <c r="G6">
        <v>251</v>
      </c>
      <c r="H6">
        <v>1</v>
      </c>
      <c r="I6" s="4">
        <v>41.843430480000002</v>
      </c>
      <c r="J6" s="4">
        <v>41.843430480000002</v>
      </c>
      <c r="K6" t="s">
        <v>25</v>
      </c>
      <c r="L6" t="s">
        <v>26</v>
      </c>
      <c r="M6" t="s">
        <v>23</v>
      </c>
      <c r="N6" t="s">
        <v>20</v>
      </c>
      <c r="O6" t="s">
        <v>24</v>
      </c>
      <c r="P6">
        <v>51.063201999999997</v>
      </c>
      <c r="Q6">
        <v>-1.3080000000000001</v>
      </c>
    </row>
    <row r="7" spans="1:17" x14ac:dyDescent="0.25">
      <c r="A7" s="2">
        <v>44353</v>
      </c>
      <c r="B7" t="str">
        <f t="shared" si="0"/>
        <v>Sunday</v>
      </c>
      <c r="C7" t="str">
        <f t="shared" si="1"/>
        <v>June</v>
      </c>
      <c r="D7" t="str">
        <f t="shared" si="2"/>
        <v>2021</v>
      </c>
      <c r="E7">
        <f t="shared" si="3"/>
        <v>24</v>
      </c>
      <c r="F7">
        <v>97</v>
      </c>
      <c r="G7">
        <v>304</v>
      </c>
      <c r="H7">
        <v>3</v>
      </c>
      <c r="I7" s="4">
        <v>49.887524149999997</v>
      </c>
      <c r="J7" s="4">
        <v>149.66257250000001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>
        <v>51.209000000000003</v>
      </c>
      <c r="Q7">
        <v>-2.6469999999999998</v>
      </c>
    </row>
    <row r="8" spans="1:17" x14ac:dyDescent="0.25">
      <c r="A8" s="2">
        <v>44354</v>
      </c>
      <c r="B8" t="str">
        <f t="shared" si="0"/>
        <v>Monday</v>
      </c>
      <c r="C8" t="str">
        <f t="shared" si="1"/>
        <v>June</v>
      </c>
      <c r="D8" t="str">
        <f t="shared" si="2"/>
        <v>2021</v>
      </c>
      <c r="E8">
        <f t="shared" si="3"/>
        <v>24</v>
      </c>
      <c r="F8">
        <v>45</v>
      </c>
      <c r="G8">
        <v>357</v>
      </c>
      <c r="H8">
        <v>2</v>
      </c>
      <c r="I8" s="4">
        <v>35.41601593</v>
      </c>
      <c r="J8" s="4">
        <v>70.832031850000007</v>
      </c>
      <c r="K8" t="s">
        <v>32</v>
      </c>
      <c r="L8" t="s">
        <v>28</v>
      </c>
      <c r="M8" t="s">
        <v>15</v>
      </c>
      <c r="N8" t="s">
        <v>30</v>
      </c>
      <c r="O8" t="s">
        <v>33</v>
      </c>
      <c r="P8">
        <v>53.68</v>
      </c>
      <c r="Q8">
        <v>-1.49</v>
      </c>
    </row>
    <row r="9" spans="1:17" x14ac:dyDescent="0.25">
      <c r="A9" s="2">
        <v>44355</v>
      </c>
      <c r="B9" t="str">
        <f t="shared" si="0"/>
        <v>Tuesday</v>
      </c>
      <c r="C9" t="str">
        <f t="shared" si="1"/>
        <v>June</v>
      </c>
      <c r="D9" t="str">
        <f t="shared" si="2"/>
        <v>2021</v>
      </c>
      <c r="E9">
        <f t="shared" si="3"/>
        <v>24</v>
      </c>
      <c r="F9">
        <v>81</v>
      </c>
      <c r="G9">
        <v>258</v>
      </c>
      <c r="H9">
        <v>1</v>
      </c>
      <c r="I9" s="4">
        <v>29.08420533</v>
      </c>
      <c r="J9" s="4">
        <v>29.08420533</v>
      </c>
      <c r="K9" t="s">
        <v>34</v>
      </c>
      <c r="L9" t="s">
        <v>19</v>
      </c>
      <c r="M9" t="s">
        <v>15</v>
      </c>
      <c r="N9" t="s">
        <v>20</v>
      </c>
      <c r="O9" t="s">
        <v>33</v>
      </c>
      <c r="P9">
        <v>53.68</v>
      </c>
      <c r="Q9">
        <v>-1.49</v>
      </c>
    </row>
    <row r="10" spans="1:17" x14ac:dyDescent="0.25">
      <c r="A10" s="2">
        <v>44356</v>
      </c>
      <c r="B10" t="str">
        <f t="shared" si="0"/>
        <v>Wednesday</v>
      </c>
      <c r="C10" t="str">
        <f t="shared" si="1"/>
        <v>June</v>
      </c>
      <c r="D10" t="str">
        <f t="shared" si="2"/>
        <v>2021</v>
      </c>
      <c r="E10">
        <f t="shared" si="3"/>
        <v>24</v>
      </c>
      <c r="F10">
        <v>47</v>
      </c>
      <c r="G10">
        <v>260</v>
      </c>
      <c r="H10">
        <v>3</v>
      </c>
      <c r="I10" s="4">
        <v>44.498077340000002</v>
      </c>
      <c r="J10" s="4">
        <v>133.49423200000001</v>
      </c>
      <c r="K10" t="s">
        <v>35</v>
      </c>
      <c r="L10" t="s">
        <v>26</v>
      </c>
      <c r="M10" t="s">
        <v>15</v>
      </c>
      <c r="N10" t="s">
        <v>20</v>
      </c>
      <c r="O10" t="s">
        <v>33</v>
      </c>
      <c r="P10">
        <v>53.68</v>
      </c>
      <c r="Q10">
        <v>-1.49</v>
      </c>
    </row>
    <row r="11" spans="1:17" x14ac:dyDescent="0.25">
      <c r="A11" s="2">
        <v>44357</v>
      </c>
      <c r="B11" t="str">
        <f t="shared" si="0"/>
        <v>Thursday</v>
      </c>
      <c r="C11" t="str">
        <f t="shared" si="1"/>
        <v>June</v>
      </c>
      <c r="D11" t="str">
        <f t="shared" si="2"/>
        <v>2021</v>
      </c>
      <c r="E11">
        <f t="shared" si="3"/>
        <v>24</v>
      </c>
      <c r="F11">
        <v>24</v>
      </c>
      <c r="G11">
        <v>263</v>
      </c>
      <c r="H11">
        <v>3</v>
      </c>
      <c r="I11" s="4">
        <v>38.497396850000001</v>
      </c>
      <c r="J11" s="4">
        <v>115.49219050000001</v>
      </c>
      <c r="K11" t="s">
        <v>36</v>
      </c>
      <c r="L11" t="s">
        <v>26</v>
      </c>
      <c r="M11" t="s">
        <v>15</v>
      </c>
      <c r="N11" t="s">
        <v>37</v>
      </c>
      <c r="O11" t="s">
        <v>24</v>
      </c>
      <c r="P11">
        <v>51.063201999999997</v>
      </c>
      <c r="Q11">
        <v>-1.3080000000000001</v>
      </c>
    </row>
    <row r="12" spans="1:17" x14ac:dyDescent="0.25">
      <c r="A12" s="2">
        <v>44358</v>
      </c>
      <c r="B12" t="str">
        <f t="shared" si="0"/>
        <v>Friday</v>
      </c>
      <c r="C12" t="str">
        <f t="shared" si="1"/>
        <v>June</v>
      </c>
      <c r="D12" t="str">
        <f t="shared" si="2"/>
        <v>2021</v>
      </c>
      <c r="E12">
        <f t="shared" si="3"/>
        <v>24</v>
      </c>
      <c r="F12">
        <v>10</v>
      </c>
      <c r="G12">
        <v>265</v>
      </c>
      <c r="H12">
        <v>4</v>
      </c>
      <c r="I12" s="4">
        <v>27.048956010000001</v>
      </c>
      <c r="J12" s="4">
        <v>108.195824</v>
      </c>
      <c r="K12" t="s">
        <v>36</v>
      </c>
      <c r="L12" t="s">
        <v>19</v>
      </c>
      <c r="M12" t="s">
        <v>15</v>
      </c>
      <c r="N12" t="s">
        <v>37</v>
      </c>
      <c r="O12" t="s">
        <v>33</v>
      </c>
      <c r="P12">
        <v>53.68</v>
      </c>
      <c r="Q12">
        <v>-1.49</v>
      </c>
    </row>
    <row r="13" spans="1:17" x14ac:dyDescent="0.25">
      <c r="A13" s="2">
        <v>44359</v>
      </c>
      <c r="B13" t="str">
        <f t="shared" si="0"/>
        <v>Saturday</v>
      </c>
      <c r="C13" t="str">
        <f t="shared" si="1"/>
        <v>June</v>
      </c>
      <c r="D13" t="str">
        <f t="shared" si="2"/>
        <v>2021</v>
      </c>
      <c r="E13">
        <f t="shared" si="3"/>
        <v>24</v>
      </c>
      <c r="F13">
        <v>45</v>
      </c>
      <c r="G13">
        <v>260</v>
      </c>
      <c r="H13">
        <v>3</v>
      </c>
      <c r="I13" s="4">
        <v>28.540899240000002</v>
      </c>
      <c r="J13" s="4">
        <v>85.622697709999997</v>
      </c>
      <c r="K13" t="s">
        <v>34</v>
      </c>
      <c r="L13" t="s">
        <v>19</v>
      </c>
      <c r="M13" t="s">
        <v>15</v>
      </c>
      <c r="N13" t="s">
        <v>20</v>
      </c>
      <c r="O13" t="s">
        <v>33</v>
      </c>
      <c r="P13">
        <v>53.68</v>
      </c>
      <c r="Q13">
        <v>-1.49</v>
      </c>
    </row>
    <row r="14" spans="1:17" x14ac:dyDescent="0.25">
      <c r="A14" s="2">
        <v>44360</v>
      </c>
      <c r="B14" t="str">
        <f t="shared" si="0"/>
        <v>Sunday</v>
      </c>
      <c r="C14" t="str">
        <f t="shared" si="1"/>
        <v>June</v>
      </c>
      <c r="D14" t="str">
        <f t="shared" si="2"/>
        <v>2021</v>
      </c>
      <c r="E14">
        <f t="shared" si="3"/>
        <v>25</v>
      </c>
      <c r="F14">
        <v>55</v>
      </c>
      <c r="G14">
        <v>260</v>
      </c>
      <c r="H14">
        <v>1</v>
      </c>
      <c r="I14" s="4">
        <v>34.742913209999998</v>
      </c>
      <c r="J14" s="4">
        <v>34.742913209999998</v>
      </c>
      <c r="K14" t="s">
        <v>36</v>
      </c>
      <c r="L14" t="s">
        <v>19</v>
      </c>
      <c r="M14" t="s">
        <v>15</v>
      </c>
      <c r="N14" t="s">
        <v>20</v>
      </c>
      <c r="O14" t="s">
        <v>17</v>
      </c>
      <c r="P14">
        <v>53.958331999999999</v>
      </c>
      <c r="Q14">
        <v>-1.0802780000000001</v>
      </c>
    </row>
    <row r="15" spans="1:17" x14ac:dyDescent="0.25">
      <c r="A15" s="2">
        <v>44361</v>
      </c>
      <c r="B15" t="str">
        <f t="shared" si="0"/>
        <v>Monday</v>
      </c>
      <c r="C15" t="str">
        <f t="shared" si="1"/>
        <v>June</v>
      </c>
      <c r="D15" t="str">
        <f t="shared" si="2"/>
        <v>2021</v>
      </c>
      <c r="E15">
        <f t="shared" si="3"/>
        <v>25</v>
      </c>
      <c r="F15">
        <v>44</v>
      </c>
      <c r="G15">
        <v>286</v>
      </c>
      <c r="H15">
        <v>3</v>
      </c>
      <c r="I15" s="4">
        <v>27.028571150000001</v>
      </c>
      <c r="J15" s="4">
        <v>81.085713440000006</v>
      </c>
      <c r="K15" t="s">
        <v>38</v>
      </c>
      <c r="L15" t="s">
        <v>26</v>
      </c>
      <c r="M15" t="s">
        <v>15</v>
      </c>
      <c r="N15" t="s">
        <v>39</v>
      </c>
      <c r="O15" t="s">
        <v>31</v>
      </c>
      <c r="P15">
        <v>51.209000000000003</v>
      </c>
      <c r="Q15">
        <v>-2.6469999999999998</v>
      </c>
    </row>
    <row r="16" spans="1:17" x14ac:dyDescent="0.25">
      <c r="A16" s="2">
        <v>44362</v>
      </c>
      <c r="B16" t="str">
        <f t="shared" si="0"/>
        <v>Tuesday</v>
      </c>
      <c r="C16" t="str">
        <f t="shared" si="1"/>
        <v>June</v>
      </c>
      <c r="D16" t="str">
        <f t="shared" si="2"/>
        <v>2021</v>
      </c>
      <c r="E16">
        <f t="shared" si="3"/>
        <v>25</v>
      </c>
      <c r="F16">
        <v>97</v>
      </c>
      <c r="G16">
        <v>291</v>
      </c>
      <c r="H16">
        <v>1</v>
      </c>
      <c r="I16" s="4">
        <v>34.79245255</v>
      </c>
      <c r="J16" s="4">
        <v>34.79245255</v>
      </c>
      <c r="K16" t="s">
        <v>38</v>
      </c>
      <c r="L16" t="s">
        <v>19</v>
      </c>
      <c r="M16" t="s">
        <v>15</v>
      </c>
      <c r="N16" t="s">
        <v>39</v>
      </c>
      <c r="O16" t="s">
        <v>31</v>
      </c>
      <c r="P16">
        <v>51.209000000000003</v>
      </c>
      <c r="Q16">
        <v>-2.6469999999999998</v>
      </c>
    </row>
    <row r="17" spans="1:17" x14ac:dyDescent="0.25">
      <c r="A17" s="2">
        <v>44363</v>
      </c>
      <c r="B17" t="str">
        <f t="shared" si="0"/>
        <v>Wednesday</v>
      </c>
      <c r="C17" t="str">
        <f t="shared" si="1"/>
        <v>June</v>
      </c>
      <c r="D17" t="str">
        <f t="shared" si="2"/>
        <v>2021</v>
      </c>
      <c r="E17">
        <f t="shared" si="3"/>
        <v>25</v>
      </c>
      <c r="F17">
        <v>31</v>
      </c>
      <c r="G17">
        <v>265</v>
      </c>
      <c r="H17">
        <v>4</v>
      </c>
      <c r="I17" s="4">
        <v>43.871536999999996</v>
      </c>
      <c r="J17" s="4">
        <v>175.48614799999999</v>
      </c>
      <c r="K17" t="s">
        <v>40</v>
      </c>
      <c r="L17" t="s">
        <v>19</v>
      </c>
      <c r="M17" t="s">
        <v>15</v>
      </c>
      <c r="N17" t="s">
        <v>37</v>
      </c>
      <c r="O17" t="s">
        <v>33</v>
      </c>
      <c r="P17">
        <v>53.68</v>
      </c>
      <c r="Q17">
        <v>-1.49</v>
      </c>
    </row>
    <row r="18" spans="1:17" x14ac:dyDescent="0.25">
      <c r="A18" s="2">
        <v>44364</v>
      </c>
      <c r="B18" t="str">
        <f t="shared" si="0"/>
        <v>Thursday</v>
      </c>
      <c r="C18" t="str">
        <f t="shared" si="1"/>
        <v>June</v>
      </c>
      <c r="D18" t="str">
        <f t="shared" si="2"/>
        <v>2021</v>
      </c>
      <c r="E18">
        <f t="shared" si="3"/>
        <v>25</v>
      </c>
      <c r="F18">
        <v>47</v>
      </c>
      <c r="G18">
        <v>274</v>
      </c>
      <c r="H18">
        <v>1</v>
      </c>
      <c r="I18" s="4">
        <v>51.96824385</v>
      </c>
      <c r="J18" s="4">
        <v>51.96824385</v>
      </c>
      <c r="K18" t="s">
        <v>41</v>
      </c>
      <c r="L18" t="s">
        <v>26</v>
      </c>
      <c r="M18" t="s">
        <v>15</v>
      </c>
      <c r="N18" t="s">
        <v>42</v>
      </c>
      <c r="O18" t="s">
        <v>33</v>
      </c>
      <c r="P18">
        <v>53.68</v>
      </c>
      <c r="Q18">
        <v>-1.49</v>
      </c>
    </row>
    <row r="19" spans="1:17" x14ac:dyDescent="0.25">
      <c r="A19" s="2">
        <v>44365</v>
      </c>
      <c r="B19" t="str">
        <f t="shared" si="0"/>
        <v>Friday</v>
      </c>
      <c r="C19" t="str">
        <f t="shared" si="1"/>
        <v>June</v>
      </c>
      <c r="D19" t="str">
        <f t="shared" si="2"/>
        <v>2021</v>
      </c>
      <c r="E19">
        <f t="shared" si="3"/>
        <v>25</v>
      </c>
      <c r="F19">
        <v>47</v>
      </c>
      <c r="G19">
        <v>276</v>
      </c>
      <c r="H19">
        <v>4</v>
      </c>
      <c r="I19" s="4">
        <v>33.931774840000003</v>
      </c>
      <c r="J19" s="4">
        <v>135.72709939999999</v>
      </c>
      <c r="K19" t="s">
        <v>25</v>
      </c>
      <c r="L19" t="s">
        <v>26</v>
      </c>
      <c r="M19" t="s">
        <v>15</v>
      </c>
      <c r="N19" t="s">
        <v>20</v>
      </c>
      <c r="O19" t="s">
        <v>33</v>
      </c>
      <c r="P19">
        <v>53.68</v>
      </c>
      <c r="Q19">
        <v>-1.49</v>
      </c>
    </row>
    <row r="20" spans="1:17" x14ac:dyDescent="0.25">
      <c r="A20" s="2">
        <v>44366</v>
      </c>
      <c r="B20" t="str">
        <f t="shared" si="0"/>
        <v>Saturday</v>
      </c>
      <c r="C20" t="str">
        <f t="shared" si="1"/>
        <v>June</v>
      </c>
      <c r="D20" t="str">
        <f t="shared" si="2"/>
        <v>2021</v>
      </c>
      <c r="E20">
        <f t="shared" si="3"/>
        <v>25</v>
      </c>
      <c r="F20">
        <v>98</v>
      </c>
      <c r="G20">
        <v>280</v>
      </c>
      <c r="H20">
        <v>3</v>
      </c>
      <c r="I20" s="4">
        <v>41.412504339999998</v>
      </c>
      <c r="J20" s="4">
        <v>124.23751300000001</v>
      </c>
      <c r="K20" t="s">
        <v>43</v>
      </c>
      <c r="L20" t="s">
        <v>26</v>
      </c>
      <c r="M20" t="s">
        <v>23</v>
      </c>
      <c r="N20" t="s">
        <v>20</v>
      </c>
      <c r="O20" t="s">
        <v>17</v>
      </c>
      <c r="P20">
        <v>53.958331999999999</v>
      </c>
      <c r="Q20">
        <v>-1.0802780000000001</v>
      </c>
    </row>
    <row r="21" spans="1:17" x14ac:dyDescent="0.25">
      <c r="A21" s="2">
        <v>44367</v>
      </c>
      <c r="B21" t="str">
        <f t="shared" si="0"/>
        <v>Sunday</v>
      </c>
      <c r="C21" t="str">
        <f t="shared" si="1"/>
        <v>June</v>
      </c>
      <c r="D21" t="str">
        <f t="shared" si="2"/>
        <v>2021</v>
      </c>
      <c r="E21">
        <f t="shared" si="3"/>
        <v>26</v>
      </c>
      <c r="F21">
        <v>34</v>
      </c>
      <c r="G21">
        <v>273</v>
      </c>
      <c r="H21">
        <v>1</v>
      </c>
      <c r="I21" s="4">
        <v>38.516218010000003</v>
      </c>
      <c r="J21" s="4">
        <v>38.516218010000003</v>
      </c>
      <c r="K21" t="s">
        <v>43</v>
      </c>
      <c r="L21" t="s">
        <v>26</v>
      </c>
      <c r="M21" t="s">
        <v>23</v>
      </c>
      <c r="N21" t="s">
        <v>20</v>
      </c>
      <c r="O21" t="s">
        <v>33</v>
      </c>
      <c r="P21">
        <v>53.68</v>
      </c>
      <c r="Q21">
        <v>-1.49</v>
      </c>
    </row>
    <row r="22" spans="1:17" x14ac:dyDescent="0.25">
      <c r="A22" s="2">
        <v>44368</v>
      </c>
      <c r="B22" t="str">
        <f t="shared" si="0"/>
        <v>Monday</v>
      </c>
      <c r="C22" t="str">
        <f t="shared" si="1"/>
        <v>June</v>
      </c>
      <c r="D22" t="str">
        <f t="shared" si="2"/>
        <v>2021</v>
      </c>
      <c r="E22">
        <f t="shared" si="3"/>
        <v>26</v>
      </c>
      <c r="F22">
        <v>90</v>
      </c>
      <c r="G22">
        <v>336</v>
      </c>
      <c r="H22">
        <v>1</v>
      </c>
      <c r="I22" s="4">
        <v>21.965811769999998</v>
      </c>
      <c r="J22" s="4">
        <v>21.965811769999998</v>
      </c>
      <c r="K22" t="s">
        <v>44</v>
      </c>
      <c r="L22" t="s">
        <v>14</v>
      </c>
      <c r="M22" t="s">
        <v>45</v>
      </c>
      <c r="N22" t="s">
        <v>30</v>
      </c>
      <c r="O22" t="s">
        <v>46</v>
      </c>
      <c r="P22">
        <v>50.259998000000003</v>
      </c>
      <c r="Q22">
        <v>-5.0510000000000002</v>
      </c>
    </row>
    <row r="23" spans="1:17" x14ac:dyDescent="0.25">
      <c r="A23" s="2">
        <v>44369</v>
      </c>
      <c r="B23" t="str">
        <f t="shared" si="0"/>
        <v>Tuesday</v>
      </c>
      <c r="C23" t="str">
        <f t="shared" si="1"/>
        <v>June</v>
      </c>
      <c r="D23" t="str">
        <f t="shared" si="2"/>
        <v>2021</v>
      </c>
      <c r="E23">
        <f t="shared" si="3"/>
        <v>26</v>
      </c>
      <c r="F23">
        <v>12</v>
      </c>
      <c r="G23">
        <v>293</v>
      </c>
      <c r="H23">
        <v>2</v>
      </c>
      <c r="I23" s="4">
        <v>38.718839539999998</v>
      </c>
      <c r="J23" s="4">
        <v>77.437679079999995</v>
      </c>
      <c r="K23" t="s">
        <v>47</v>
      </c>
      <c r="L23" t="s">
        <v>26</v>
      </c>
      <c r="M23" t="s">
        <v>15</v>
      </c>
      <c r="N23" t="s">
        <v>42</v>
      </c>
      <c r="O23" t="s">
        <v>46</v>
      </c>
      <c r="P23">
        <v>50.259998000000003</v>
      </c>
      <c r="Q23">
        <v>-5.0510000000000002</v>
      </c>
    </row>
    <row r="24" spans="1:17" x14ac:dyDescent="0.25">
      <c r="A24" s="2">
        <v>44370</v>
      </c>
      <c r="B24" t="str">
        <f t="shared" si="0"/>
        <v>Wednesday</v>
      </c>
      <c r="C24" t="str">
        <f t="shared" si="1"/>
        <v>June</v>
      </c>
      <c r="D24" t="str">
        <f t="shared" si="2"/>
        <v>2021</v>
      </c>
      <c r="E24">
        <f t="shared" si="3"/>
        <v>26</v>
      </c>
      <c r="F24">
        <v>9</v>
      </c>
      <c r="G24">
        <v>285</v>
      </c>
      <c r="H24">
        <v>3</v>
      </c>
      <c r="I24" s="4">
        <v>36.190458370000002</v>
      </c>
      <c r="J24" s="4">
        <v>108.5713751</v>
      </c>
      <c r="K24" t="s">
        <v>48</v>
      </c>
      <c r="L24" t="s">
        <v>26</v>
      </c>
      <c r="M24" t="s">
        <v>15</v>
      </c>
      <c r="N24" t="s">
        <v>20</v>
      </c>
      <c r="O24" t="s">
        <v>46</v>
      </c>
      <c r="P24">
        <v>50.259998000000003</v>
      </c>
      <c r="Q24">
        <v>-5.0510000000000002</v>
      </c>
    </row>
    <row r="25" spans="1:17" x14ac:dyDescent="0.25">
      <c r="A25" s="2">
        <v>44371</v>
      </c>
      <c r="B25" t="str">
        <f t="shared" si="0"/>
        <v>Thursday</v>
      </c>
      <c r="C25" t="str">
        <f t="shared" si="1"/>
        <v>June</v>
      </c>
      <c r="D25" t="str">
        <f t="shared" si="2"/>
        <v>2021</v>
      </c>
      <c r="E25">
        <f t="shared" si="3"/>
        <v>26</v>
      </c>
      <c r="F25">
        <v>66</v>
      </c>
      <c r="G25">
        <v>276</v>
      </c>
      <c r="H25">
        <v>1</v>
      </c>
      <c r="I25" s="4">
        <v>54.994304960000001</v>
      </c>
      <c r="J25" s="4">
        <v>54.994304960000001</v>
      </c>
      <c r="K25" t="s">
        <v>49</v>
      </c>
      <c r="L25" t="s">
        <v>26</v>
      </c>
      <c r="M25" t="s">
        <v>15</v>
      </c>
      <c r="N25" t="s">
        <v>20</v>
      </c>
      <c r="O25" t="s">
        <v>24</v>
      </c>
      <c r="P25">
        <v>51.063201999999997</v>
      </c>
      <c r="Q25">
        <v>-1.3080000000000001</v>
      </c>
    </row>
    <row r="26" spans="1:17" x14ac:dyDescent="0.25">
      <c r="A26" s="2">
        <v>44372</v>
      </c>
      <c r="B26" t="str">
        <f t="shared" si="0"/>
        <v>Friday</v>
      </c>
      <c r="C26" t="str">
        <f t="shared" si="1"/>
        <v>June</v>
      </c>
      <c r="D26" t="str">
        <f t="shared" si="2"/>
        <v>2021</v>
      </c>
      <c r="E26">
        <f t="shared" si="3"/>
        <v>26</v>
      </c>
      <c r="F26">
        <v>89</v>
      </c>
      <c r="G26">
        <v>277</v>
      </c>
      <c r="H26">
        <v>2</v>
      </c>
      <c r="I26" s="4">
        <v>50.795957340000001</v>
      </c>
      <c r="J26" s="4">
        <v>101.5919147</v>
      </c>
      <c r="K26" t="s">
        <v>50</v>
      </c>
      <c r="L26" t="s">
        <v>26</v>
      </c>
      <c r="M26" t="s">
        <v>15</v>
      </c>
      <c r="N26" t="s">
        <v>20</v>
      </c>
      <c r="O26" t="s">
        <v>46</v>
      </c>
      <c r="P26">
        <v>50.259998000000003</v>
      </c>
      <c r="Q26">
        <v>-5.0510000000000002</v>
      </c>
    </row>
    <row r="27" spans="1:17" x14ac:dyDescent="0.25">
      <c r="A27" s="2">
        <v>44373</v>
      </c>
      <c r="B27" t="str">
        <f t="shared" si="0"/>
        <v>Saturday</v>
      </c>
      <c r="C27" t="str">
        <f t="shared" si="1"/>
        <v>June</v>
      </c>
      <c r="D27" t="str">
        <f t="shared" si="2"/>
        <v>2021</v>
      </c>
      <c r="E27">
        <f t="shared" si="3"/>
        <v>26</v>
      </c>
      <c r="F27">
        <v>32</v>
      </c>
      <c r="G27">
        <v>278</v>
      </c>
      <c r="H27">
        <v>2</v>
      </c>
      <c r="I27" s="4">
        <v>47.433316439999999</v>
      </c>
      <c r="J27" s="4">
        <v>94.866632879999997</v>
      </c>
      <c r="K27" t="s">
        <v>50</v>
      </c>
      <c r="L27" t="s">
        <v>19</v>
      </c>
      <c r="M27" t="s">
        <v>15</v>
      </c>
      <c r="N27" t="s">
        <v>20</v>
      </c>
      <c r="O27" t="s">
        <v>46</v>
      </c>
      <c r="P27">
        <v>50.259998000000003</v>
      </c>
      <c r="Q27">
        <v>-5.0510000000000002</v>
      </c>
    </row>
    <row r="28" spans="1:17" x14ac:dyDescent="0.25">
      <c r="A28" s="2">
        <v>44374</v>
      </c>
      <c r="B28" t="str">
        <f t="shared" si="0"/>
        <v>Sunday</v>
      </c>
      <c r="C28" t="str">
        <f t="shared" si="1"/>
        <v>June</v>
      </c>
      <c r="D28" t="str">
        <f t="shared" si="2"/>
        <v>2021</v>
      </c>
      <c r="E28">
        <f t="shared" si="3"/>
        <v>27</v>
      </c>
      <c r="F28">
        <v>15</v>
      </c>
      <c r="G28">
        <v>288</v>
      </c>
      <c r="H28">
        <v>1</v>
      </c>
      <c r="I28" s="4">
        <v>50.002619029999998</v>
      </c>
      <c r="J28" s="4">
        <v>50.002619029999998</v>
      </c>
      <c r="K28" t="s">
        <v>43</v>
      </c>
      <c r="L28" t="s">
        <v>19</v>
      </c>
      <c r="M28" t="s">
        <v>23</v>
      </c>
      <c r="N28" t="s">
        <v>30</v>
      </c>
      <c r="O28" t="s">
        <v>21</v>
      </c>
      <c r="P28">
        <v>52.192000999999998</v>
      </c>
      <c r="Q28">
        <v>-2.2200000000000002</v>
      </c>
    </row>
    <row r="29" spans="1:17" x14ac:dyDescent="0.25">
      <c r="A29" s="2">
        <v>44375</v>
      </c>
      <c r="B29" t="str">
        <f t="shared" si="0"/>
        <v>Monday</v>
      </c>
      <c r="C29" t="str">
        <f t="shared" si="1"/>
        <v>June</v>
      </c>
      <c r="D29" t="str">
        <f t="shared" si="2"/>
        <v>2021</v>
      </c>
      <c r="E29">
        <f t="shared" si="3"/>
        <v>27</v>
      </c>
      <c r="F29">
        <v>56</v>
      </c>
      <c r="G29">
        <v>262</v>
      </c>
      <c r="H29">
        <v>1</v>
      </c>
      <c r="I29" s="4">
        <v>33.470935859999997</v>
      </c>
      <c r="J29" s="4">
        <v>33.470935859999997</v>
      </c>
      <c r="K29" t="s">
        <v>36</v>
      </c>
      <c r="L29" t="s">
        <v>19</v>
      </c>
      <c r="M29" t="s">
        <v>15</v>
      </c>
      <c r="N29" t="s">
        <v>37</v>
      </c>
      <c r="O29" t="s">
        <v>17</v>
      </c>
      <c r="P29">
        <v>53.958331999999999</v>
      </c>
      <c r="Q29">
        <v>-1.0802780000000001</v>
      </c>
    </row>
    <row r="30" spans="1:17" x14ac:dyDescent="0.25">
      <c r="A30" s="2">
        <v>44376</v>
      </c>
      <c r="B30" t="str">
        <f t="shared" si="0"/>
        <v>Tuesday</v>
      </c>
      <c r="C30" t="str">
        <f t="shared" si="1"/>
        <v>June</v>
      </c>
      <c r="D30" t="str">
        <f t="shared" si="2"/>
        <v>2021</v>
      </c>
      <c r="E30">
        <f t="shared" si="3"/>
        <v>27</v>
      </c>
      <c r="F30">
        <v>13</v>
      </c>
      <c r="G30">
        <v>286</v>
      </c>
      <c r="H30">
        <v>1</v>
      </c>
      <c r="I30" s="4">
        <v>32.745506630000001</v>
      </c>
      <c r="J30" s="4">
        <v>32.745506630000001</v>
      </c>
      <c r="K30" t="s">
        <v>38</v>
      </c>
      <c r="L30" t="s">
        <v>26</v>
      </c>
      <c r="M30" t="s">
        <v>15</v>
      </c>
      <c r="N30" t="s">
        <v>39</v>
      </c>
      <c r="O30" t="s">
        <v>31</v>
      </c>
      <c r="P30">
        <v>51.209000000000003</v>
      </c>
      <c r="Q30">
        <v>-2.6469999999999998</v>
      </c>
    </row>
    <row r="31" spans="1:17" x14ac:dyDescent="0.25">
      <c r="A31" s="2">
        <v>44377</v>
      </c>
      <c r="B31" t="str">
        <f t="shared" si="0"/>
        <v>Wednesday</v>
      </c>
      <c r="C31" t="str">
        <f t="shared" si="1"/>
        <v>June</v>
      </c>
      <c r="D31" t="str">
        <f t="shared" si="2"/>
        <v>2021</v>
      </c>
      <c r="E31">
        <f t="shared" si="3"/>
        <v>27</v>
      </c>
      <c r="F31">
        <v>91</v>
      </c>
      <c r="G31">
        <v>291</v>
      </c>
      <c r="H31">
        <v>1</v>
      </c>
      <c r="I31" s="4">
        <v>31.879106759999999</v>
      </c>
      <c r="J31" s="4">
        <v>31.879106759999999</v>
      </c>
      <c r="K31" t="s">
        <v>38</v>
      </c>
      <c r="L31" t="s">
        <v>19</v>
      </c>
      <c r="M31" t="s">
        <v>15</v>
      </c>
      <c r="N31" t="s">
        <v>39</v>
      </c>
      <c r="O31" t="s">
        <v>31</v>
      </c>
      <c r="P31">
        <v>51.209000000000003</v>
      </c>
      <c r="Q31">
        <v>-2.6469999999999998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Sales_Product_Details_Table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Habeebat Aroyeun</cp:lastModifiedBy>
  <cp:lastPrinted>2026-03-25T17:49:47Z</cp:lastPrinted>
  <dcterms:created xsi:type="dcterms:W3CDTF">2024-12-30T09:41:23Z</dcterms:created>
  <dcterms:modified xsi:type="dcterms:W3CDTF">2026-03-25T17:51:15Z</dcterms:modified>
</cp:coreProperties>
</file>